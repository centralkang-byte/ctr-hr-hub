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인사관리" sheetId="2" state="visible" r:id="rId2"/>
    <sheet xmlns:r="http://schemas.openxmlformats.org/officeDocument/2006/relationships" name="출퇴근" sheetId="3" state="visible" r:id="rId3"/>
    <sheet xmlns:r="http://schemas.openxmlformats.org/officeDocument/2006/relationships" name="휴가관리" sheetId="4" state="visible" r:id="rId4"/>
    <sheet xmlns:r="http://schemas.openxmlformats.org/officeDocument/2006/relationships" name="급여" sheetId="5" state="visible" r:id="rId5"/>
    <sheet xmlns:r="http://schemas.openxmlformats.org/officeDocument/2006/relationships" name="결재_승인" sheetId="6" state="visible" r:id="rId6"/>
    <sheet xmlns:r="http://schemas.openxmlformats.org/officeDocument/2006/relationships" name="마스터데이터_설정" sheetId="7" state="visible" r:id="rId7"/>
    <sheet xmlns:r="http://schemas.openxmlformats.org/officeDocument/2006/relationships" name="성과관리" sheetId="8" state="visible" r:id="rId8"/>
    <sheet xmlns:r="http://schemas.openxmlformats.org/officeDocument/2006/relationships" name="채용" sheetId="9" state="visible" r:id="rId9"/>
    <sheet xmlns:r="http://schemas.openxmlformats.org/officeDocument/2006/relationships" name="보상" sheetId="10" state="visible" r:id="rId10"/>
    <sheet xmlns:r="http://schemas.openxmlformats.org/officeDocument/2006/relationships" name="분석" sheetId="11" state="visible" r:id="rId11"/>
    <sheet xmlns:r="http://schemas.openxmlformats.org/officeDocument/2006/relationships" name="온보딩_오프보딩" sheetId="12" state="visible" r:id="rId12"/>
    <sheet xmlns:r="http://schemas.openxmlformats.org/officeDocument/2006/relationships" name="규정준수" sheetId="13" state="visible" r:id="rId13"/>
    <sheet xmlns:r="http://schemas.openxmlformats.org/officeDocument/2006/relationships" name="My Space" sheetId="14" state="visible" r:id="rId14"/>
    <sheet xmlns:r="http://schemas.openxmlformats.org/officeDocument/2006/relationships" name="엣지케이스" sheetId="15" state="visible" r:id="rId15"/>
    <sheet xmlns:r="http://schemas.openxmlformats.org/officeDocument/2006/relationships" name="집계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2D2F2F"/>
      <sz val="11"/>
    </font>
    <font>
      <name val="Arial"/>
      <b val="1"/>
      <color rgb="004F46E5"/>
      <sz val="13"/>
    </font>
    <font>
      <name val="Arial"/>
      <b val="1"/>
      <color rgb="002D2F2F"/>
      <sz val="11"/>
    </font>
    <font>
      <name val="Arial"/>
      <color rgb="006B728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2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CA3AF"/>
    <outlinePr summaryBelow="1" summaryRight="1"/>
    <pageSetUpPr/>
  </sheetPr>
  <dimension ref="B2:C47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50" customWidth="1" min="3" max="3"/>
  </cols>
  <sheetData>
    <row r="2">
      <c r="B2" s="1" t="inlineStr">
        <is>
          <t>CTR HR Hub UAT 테스트북 사용법</t>
        </is>
      </c>
    </row>
    <row r="3">
      <c r="B3" s="2" t="inlineStr"/>
    </row>
    <row r="4">
      <c r="B4" s="3" t="inlineStr">
        <is>
          <t>1. 문서 구성</t>
        </is>
      </c>
    </row>
    <row r="5">
      <c r="B5" s="2" t="inlineStr">
        <is>
          <t>이 테스트북은 두 가지 포맷으로 구성되어 있습니다:</t>
        </is>
      </c>
    </row>
    <row r="6">
      <c r="B6" s="2" t="inlineStr">
        <is>
          <t xml:space="preserve">  - 시나리오 (파란 탭): 단계별 비즈니스 플로우를 따라가며 검증합니다. 한 시나리오 안에서 여러 역할이 참여합니다.</t>
        </is>
      </c>
    </row>
    <row r="7">
      <c r="B7" s="2" t="inlineStr">
        <is>
          <t xml:space="preserve">  - 체크리스트 (초록 탭): 기능 단위로 빠르게 존재 여부와 동작을 확인합니다.</t>
        </is>
      </c>
    </row>
    <row r="8">
      <c r="B8" s="2" t="inlineStr"/>
    </row>
    <row r="9">
      <c r="B9" s="3" t="inlineStr">
        <is>
          <t>2. 시나리오 시트 컬럼 설명</t>
        </is>
      </c>
    </row>
    <row r="10">
      <c r="B10" s="2" t="inlineStr">
        <is>
          <t xml:space="preserve">  A. Step# — 순서 번호</t>
        </is>
      </c>
    </row>
    <row r="11">
      <c r="B11" s="2" t="inlineStr">
        <is>
          <t xml:space="preserve">  B. 비즈니스 목적 — 이 단계가 왜 중요한지 (비즈니스 관점)</t>
        </is>
      </c>
    </row>
    <row r="12">
      <c r="B12" s="2" t="inlineStr">
        <is>
          <t xml:space="preserve">  C. 테스터 역할 — 어떤 계정으로 로그인해야 하는지</t>
        </is>
      </c>
    </row>
    <row r="13">
      <c r="B13" s="2" t="inlineStr">
        <is>
          <t xml:space="preserve">  D. 전제조건 — 이 단계 실행 전에 완료되어야 할 것</t>
        </is>
      </c>
    </row>
    <row r="14">
      <c r="B14" s="2" t="inlineStr">
        <is>
          <t xml:space="preserve">  E. 테스트 데이터 — 입력할 구체적인 데이터</t>
        </is>
      </c>
    </row>
    <row r="15">
      <c r="B15" s="2" t="inlineStr">
        <is>
          <t xml:space="preserve">  F. 수행 액션 — 실제로 할 행동 (한국어 단계별 설명)</t>
        </is>
      </c>
    </row>
    <row r="16">
      <c r="B16" s="2" t="inlineStr">
        <is>
          <t xml:space="preserve">  G. 기대되는 비즈니스 결과 — 정상일 때 화면에 보여야 할 것</t>
        </is>
      </c>
    </row>
    <row r="17">
      <c r="B17" s="2" t="inlineStr">
        <is>
          <t xml:space="preserve">  H. 실제 결과 — 테스터가 직접 기록</t>
        </is>
      </c>
    </row>
    <row r="18">
      <c r="B18" s="2" t="inlineStr">
        <is>
          <t xml:space="preserve">  I. Pass/Fail/Block — 드롭다운으로 선택</t>
        </is>
      </c>
    </row>
    <row r="19">
      <c r="B19" s="2" t="inlineStr">
        <is>
          <t xml:space="preserve">  J. 이슈ID — Fail/Block 시 이슈 추적 번호</t>
        </is>
      </c>
    </row>
    <row r="20">
      <c r="B20" s="2" t="inlineStr">
        <is>
          <t xml:space="preserve">  K. 비고 — 추가 메모</t>
        </is>
      </c>
    </row>
    <row r="21">
      <c r="B21" s="2" t="inlineStr"/>
    </row>
    <row r="22">
      <c r="B22" s="3" t="inlineStr">
        <is>
          <t>3. 체크리스트 시트 컬럼 설명</t>
        </is>
      </c>
    </row>
    <row r="23">
      <c r="B23" s="2" t="inlineStr">
        <is>
          <t xml:space="preserve">  A. # — 순서 번호</t>
        </is>
      </c>
    </row>
    <row r="24">
      <c r="B24" s="2" t="inlineStr">
        <is>
          <t xml:space="preserve">  B. 기능 — 대분류 기능명</t>
        </is>
      </c>
    </row>
    <row r="25">
      <c r="B25" s="2" t="inlineStr">
        <is>
          <t xml:space="preserve">  C. 세부기능 — 구체적 페이지 또는 기능</t>
        </is>
      </c>
    </row>
    <row r="26">
      <c r="B26" s="2" t="inlineStr">
        <is>
          <t xml:space="preserve">  D. 테스트 계정 — 확인에 사용할 계정</t>
        </is>
      </c>
    </row>
    <row r="27">
      <c r="B27" s="2" t="inlineStr">
        <is>
          <t xml:space="preserve">  E. 확인 — Y(확인)/N(미확인)/NA(해당없음)</t>
        </is>
      </c>
    </row>
    <row r="28">
      <c r="B28" s="2" t="inlineStr">
        <is>
          <t xml:space="preserve">  F. 심각도 — N인 경우만: Critical/Major/Minor/개선</t>
        </is>
      </c>
    </row>
    <row r="29">
      <c r="B29" s="2" t="inlineStr">
        <is>
          <t xml:space="preserve">  G. 테스터 — 확인한 사람</t>
        </is>
      </c>
    </row>
    <row r="30">
      <c r="B30" s="2" t="inlineStr">
        <is>
          <t xml:space="preserve">  H. 날짜 — 확인 날짜</t>
        </is>
      </c>
    </row>
    <row r="31">
      <c r="B31" s="2" t="inlineStr">
        <is>
          <t xml:space="preserve">  I. 비고 — 추가 메모</t>
        </is>
      </c>
    </row>
    <row r="32">
      <c r="B32" s="2" t="inlineStr"/>
    </row>
    <row r="33">
      <c r="B33" s="3" t="inlineStr">
        <is>
          <t>4. 색상 범례</t>
        </is>
      </c>
    </row>
    <row r="34">
      <c r="B34" s="2" t="inlineStr"/>
    </row>
    <row r="36">
      <c r="B36" s="4" t="inlineStr">
        <is>
          <t xml:space="preserve">  Pass (녹색)</t>
        </is>
      </c>
      <c r="C36" s="5" t="inlineStr">
        <is>
          <t>테스트 통과 — 기대 결과와 일치</t>
        </is>
      </c>
    </row>
    <row r="37">
      <c r="B37" s="6" t="inlineStr">
        <is>
          <t xml:space="preserve">  Fail (빨간색)</t>
        </is>
      </c>
      <c r="C37" s="5" t="inlineStr">
        <is>
          <t>테스트 실패 — 기대 결과와 불일치, 이슈ID 필수 기록</t>
        </is>
      </c>
    </row>
    <row r="38">
      <c r="B38" s="7" t="inlineStr">
        <is>
          <t xml:space="preserve">  Block (노란색)</t>
        </is>
      </c>
      <c r="C38" s="5" t="inlineStr">
        <is>
          <t>차단 — 선행 조건 미충족으로 테스트 불가</t>
        </is>
      </c>
    </row>
    <row r="39">
      <c r="B39" s="8" t="inlineStr">
        <is>
          <t xml:space="preserve">  N/A (회색)</t>
        </is>
      </c>
      <c r="C39" s="5" t="inlineStr">
        <is>
          <t>해당 없음 — 현재 환경에서 테스트 불가</t>
        </is>
      </c>
    </row>
    <row r="42">
      <c r="B42" s="3" t="inlineStr">
        <is>
          <t>주의사항</t>
        </is>
      </c>
    </row>
    <row r="43">
      <c r="B43" s="2" t="inlineStr">
        <is>
          <t xml:space="preserve">  - 이 문서는 E2E 자동 테스트와 다릅니다 — 비즈니스 결과를 확인하세요.</t>
        </is>
      </c>
    </row>
    <row r="44">
      <c r="B44" s="2" t="inlineStr">
        <is>
          <t xml:space="preserve">  - 시나리오 시트는 반드시 Step 순서대로 실행하세요 (선행 단계의 결과가 다음 단계의 전제조건입니다).</t>
        </is>
      </c>
    </row>
    <row r="45">
      <c r="B45" s="2" t="inlineStr">
        <is>
          <t xml:space="preserve">  - 체크리스트 시트는 순서 무관하게 독립적으로 확인할 수 있습니다.</t>
        </is>
      </c>
    </row>
    <row r="46">
      <c r="B46" s="2" t="inlineStr">
        <is>
          <t xml:space="preserve">  - 테스트 계정 비밀번호: 개발 환경에서 NEXT_PUBLIC_SHOW_TEST_ACCOUNTS=true 설정 시 로그인 페이지에 표시됩니다.</t>
        </is>
      </c>
    </row>
    <row r="47">
      <c r="B47" s="2" t="inlineStr">
        <is>
          <t xml:space="preserve">  - 집계 시트에서 전체 진행률을 확인할 수 있습니다 (COUNTIF 수식 자동 집계).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직원 목록 조회</t>
        </is>
      </c>
      <c r="C2" s="11" t="inlineStr">
        <is>
          <t>HR_ADMIN (hr@ctr.co.kr)</t>
        </is>
      </c>
      <c r="D2" s="11" t="inlineStr">
        <is>
          <t>로그인 완료</t>
        </is>
      </c>
      <c r="E2" s="11" t="inlineStr"/>
      <c r="F2" s="11" t="inlineStr">
        <is>
          <t>좌측 메뉴 &gt; 인사관리 &gt; 직원 목록 클릭</t>
        </is>
      </c>
      <c r="G2" s="11" t="inlineStr">
        <is>
          <t>직원 목록 페이지가 로드되고 CTR 법인 소속 직원이 표시됨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직원 목록 필터링</t>
        </is>
      </c>
      <c r="C3" s="11" t="inlineStr">
        <is>
          <t>HR_ADMIN (hr@ctr.co.kr)</t>
        </is>
      </c>
      <c r="D3" s="11" t="inlineStr">
        <is>
          <t>Step 1 완료</t>
        </is>
      </c>
      <c r="E3" s="11" t="inlineStr">
        <is>
          <t>부서: 개발팀</t>
        </is>
      </c>
      <c r="F3" s="11" t="inlineStr">
        <is>
          <t>필터 영역에서 부서를 "개발팀"으로 선택</t>
        </is>
      </c>
      <c r="G3" s="11" t="inlineStr">
        <is>
          <t>해당 부서 소속 직원만 필터링되어 표시됨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직원 검색 (이름)</t>
        </is>
      </c>
      <c r="C4" s="11" t="inlineStr">
        <is>
          <t>HR_ADMIN (hr@ctr.co.kr)</t>
        </is>
      </c>
      <c r="D4" s="11" t="inlineStr">
        <is>
          <t>Step 1 완료</t>
        </is>
      </c>
      <c r="E4" s="11" t="inlineStr">
        <is>
          <t>검색어: 이민준</t>
        </is>
      </c>
      <c r="F4" s="11" t="inlineStr">
        <is>
          <t>검색창에 "이민준" 입력</t>
        </is>
      </c>
      <c r="G4" s="11" t="inlineStr">
        <is>
          <t>이민준 직원이 검색 결과에 표시됨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직원 검색 (사번)</t>
        </is>
      </c>
      <c r="C5" s="11" t="inlineStr">
        <is>
          <t>HR_ADMIN (hr@ctr.co.kr)</t>
        </is>
      </c>
      <c r="D5" s="11" t="inlineStr">
        <is>
          <t>Step 1 완료</t>
        </is>
      </c>
      <c r="E5" s="11" t="inlineStr">
        <is>
          <t>검색어: EDGE-001</t>
        </is>
      </c>
      <c r="F5" s="11" t="inlineStr">
        <is>
          <t>검색창에 "EDGE-001" 입력</t>
        </is>
      </c>
      <c r="G5" s="11" t="inlineStr">
        <is>
          <t>김수습(EDGE-001) 직원이 검색 결과에 표시됨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신규 직원 등록 시작</t>
        </is>
      </c>
      <c r="C6" s="11" t="inlineStr">
        <is>
          <t>HR_ADMIN (hr@ctr.co.kr)</t>
        </is>
      </c>
      <c r="D6" s="11" t="inlineStr">
        <is>
          <t>Step 1 완료</t>
        </is>
      </c>
      <c r="E6" s="11" t="inlineStr"/>
      <c r="F6" s="11" t="inlineStr">
        <is>
          <t>직원 목록 페이지에서 "신규 등록" 버튼 클릭</t>
        </is>
      </c>
      <c r="G6" s="11" t="inlineStr">
        <is>
          <t>신규 직원 등록 폼이 표시됨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신규 직원 정보 입력</t>
        </is>
      </c>
      <c r="C7" s="11" t="inlineStr">
        <is>
          <t>HR_ADMIN (hr@ctr.co.kr)</t>
        </is>
      </c>
      <c r="D7" s="11" t="inlineStr">
        <is>
          <t>Step 5 완료</t>
        </is>
      </c>
      <c r="E7" s="11" t="inlineStr">
        <is>
          <t>이름: 테스트직원, 부서: 경영지원팀, 직급: L1, 입사일: 2026-04-17</t>
        </is>
      </c>
      <c r="F7" s="11" t="inlineStr">
        <is>
          <t>필수 필드(이름, 부서, 직급, 입사일, 고용형태) 입력 후 저장</t>
        </is>
      </c>
      <c r="G7" s="11" t="inlineStr">
        <is>
          <t>직원이 성공적으로 등록되고 상세 페이지로 이동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등록된 직원 상세 조회</t>
        </is>
      </c>
      <c r="C8" s="11" t="inlineStr">
        <is>
          <t>HR_ADMIN (hr@ctr.co.kr)</t>
        </is>
      </c>
      <c r="D8" s="11" t="inlineStr">
        <is>
          <t>Step 6 완료</t>
        </is>
      </c>
      <c r="E8" s="11" t="inlineStr"/>
      <c r="F8" s="11" t="inlineStr">
        <is>
          <t>등록된 직원의 상세 페이지에서 기본정보 탭 확인</t>
        </is>
      </c>
      <c r="G8" s="11" t="inlineStr">
        <is>
          <t>입력한 이름, 부서, 직급, 입사일이 정확히 표시됨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직원 정보 수정</t>
        </is>
      </c>
      <c r="C9" s="11" t="inlineStr">
        <is>
          <t>HR_ADMIN (hr@ctr.co.kr)</t>
        </is>
      </c>
      <c r="D9" s="11" t="inlineStr">
        <is>
          <t>Step 7 완료</t>
        </is>
      </c>
      <c r="E9" s="11" t="inlineStr">
        <is>
          <t>변경할 연락처: 010-9999-0000</t>
        </is>
      </c>
      <c r="F9" s="11" t="inlineStr">
        <is>
          <t>수정 버튼 클릭 &gt; 연락처 변경 &gt; 저장</t>
        </is>
      </c>
      <c r="G9" s="11" t="inlineStr">
        <is>
          <t>연락처가 변경된 값으로 표시됨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인사 이력 확인</t>
        </is>
      </c>
      <c r="C10" s="11" t="inlineStr">
        <is>
          <t>HR_ADMIN (hr@ctr.co.kr)</t>
        </is>
      </c>
      <c r="D10" s="11" t="inlineStr">
        <is>
          <t>Step 7 완료</t>
        </is>
      </c>
      <c r="E10" s="11" t="inlineStr"/>
      <c r="F10" s="11" t="inlineStr">
        <is>
          <t>직원 상세 &gt; 발령 이력 탭 클릭</t>
        </is>
      </c>
      <c r="G10" s="11" t="inlineStr">
        <is>
          <t>해당 직원의 발령/이동 이력이 시간순으로 표시됨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조직도 조회</t>
        </is>
      </c>
      <c r="C11" s="11" t="inlineStr">
        <is>
          <t>HR_ADMIN (hr@ctr.co.kr)</t>
        </is>
      </c>
      <c r="D11" s="11" t="inlineStr">
        <is>
          <t>로그인 완료</t>
        </is>
      </c>
      <c r="E11" s="11" t="inlineStr"/>
      <c r="F11" s="11" t="inlineStr">
        <is>
          <t>좌측 메뉴 &gt; 조직 &gt; 조직도 클릭</t>
        </is>
      </c>
      <c r="G11" s="11" t="inlineStr">
        <is>
          <t>조직도가 트리 구조로 표시되고 보고 라인이 정확함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디렉토리 조회</t>
        </is>
      </c>
      <c r="C12" s="11" t="inlineStr">
        <is>
          <t>HR_ADMIN (hr@ctr.co.kr)</t>
        </is>
      </c>
      <c r="D12" s="11" t="inlineStr">
        <is>
          <t>로그인 완료</t>
        </is>
      </c>
      <c r="E12" s="11" t="inlineStr"/>
      <c r="F12" s="11" t="inlineStr">
        <is>
          <t>좌측 메뉴 &gt; 디렉토리 클릭</t>
        </is>
      </c>
      <c r="G12" s="11" t="inlineStr">
        <is>
          <t>전체 직원 디렉토리가 카드/리스트 형태로 표시됨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근로계약서 확인</t>
        </is>
      </c>
      <c r="C13" s="11" t="inlineStr">
        <is>
          <t>HR_ADMIN (hr@ctr.co.kr)</t>
        </is>
      </c>
      <c r="D13" s="11" t="inlineStr">
        <is>
          <t>Step 7 완료</t>
        </is>
      </c>
      <c r="E13" s="11" t="inlineStr"/>
      <c r="F13" s="11" t="inlineStr">
        <is>
          <t>직원 상세 &gt; 계약 탭 클릭</t>
        </is>
      </c>
      <c r="G13" s="11" t="inlineStr">
        <is>
          <t>근로계약서 정보가 표시됨 (계약 유형, 기간 등)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수습 직원 조회</t>
        </is>
      </c>
      <c r="C14" s="11" t="inlineStr">
        <is>
          <t>HR_ADMIN (hr@ctr.co.kr)</t>
        </is>
      </c>
      <c r="D14" s="11" t="inlineStr">
        <is>
          <t>로그인 완료, EDGE-001 시드 데이터 존재</t>
        </is>
      </c>
      <c r="E14" s="11" t="inlineStr">
        <is>
          <t>김수습 (EDGE-001)</t>
        </is>
      </c>
      <c r="F14" s="11" t="inlineStr">
        <is>
          <t>직원 목록에서 수습 상태 필터 적용</t>
        </is>
      </c>
      <c r="G14" s="11" t="inlineStr">
        <is>
          <t>김수습이 수습 배지와 함께 표시되고 수습 만료일(2026-06-01)이 확인됨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수습 만료 직원 경고</t>
        </is>
      </c>
      <c r="C15" s="11" t="inlineStr">
        <is>
          <t>HR_ADMIN (hr@ctr.co.kr)</t>
        </is>
      </c>
      <c r="D15" s="11" t="inlineStr">
        <is>
          <t>로그인 완료, EDGE-002 시드 데이터 존재</t>
        </is>
      </c>
      <c r="E15" s="11" t="inlineStr">
        <is>
          <t>박만료 (EDGE-002)</t>
        </is>
      </c>
      <c r="F15" s="11" t="inlineStr">
        <is>
          <t>직원 목록에서 박만료 검색</t>
        </is>
      </c>
      <c r="G15" s="11" t="inlineStr">
        <is>
          <t>수습 기간 만료 경고가 표시됨 (만료일 2026-01-01 이미 지남)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계약직 만료 예정자 확인</t>
        </is>
      </c>
      <c r="C16" s="11" t="inlineStr">
        <is>
          <t>HR_ADMIN (hr@ctr.co.kr)</t>
        </is>
      </c>
      <c r="D16" s="11" t="inlineStr">
        <is>
          <t>로그인 완료, EDGE-003 시드 데이터 존재</t>
        </is>
      </c>
      <c r="E16" s="11" t="inlineStr">
        <is>
          <t>이계약 (EDGE-003)</t>
        </is>
      </c>
      <c r="F16" s="11" t="inlineStr">
        <is>
          <t>직원 목록 또는 대시보드에서 계약 만료 예정자 확인</t>
        </is>
      </c>
      <c r="G16" s="11" t="inlineStr">
        <is>
          <t>이계약의 계약 만료 임박(D-30) 알림 또는 배지가 표시됨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계약 만료 직원 상태</t>
        </is>
      </c>
      <c r="C17" s="11" t="inlineStr">
        <is>
          <t>HR_ADMIN (hr@ctr.co.kr)</t>
        </is>
      </c>
      <c r="D17" s="11" t="inlineStr">
        <is>
          <t>로그인 완료, EDGE-004 시드 데이터 존재</t>
        </is>
      </c>
      <c r="E17" s="11" t="inlineStr">
        <is>
          <t>최만기 (EDGE-004)</t>
        </is>
      </c>
      <c r="F17" s="11" t="inlineStr">
        <is>
          <t>직원 목록에서 최만기 검색</t>
        </is>
      </c>
      <c r="G17" s="11" t="inlineStr">
        <is>
          <t>계약 만료 상태가 명확히 표시됨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휴직자 목록 확인</t>
        </is>
      </c>
      <c r="C18" s="11" t="inlineStr">
        <is>
          <t>HR_ADMIN (hr@ctr.co.kr)</t>
        </is>
      </c>
      <c r="D18" s="11" t="inlineStr">
        <is>
          <t>로그인 완료, EDGE-005 시드 데이터 존재</t>
        </is>
      </c>
      <c r="E18" s="11" t="inlineStr">
        <is>
          <t>정육아 (EDGE-005)</t>
        </is>
      </c>
      <c r="F18" s="11" t="inlineStr">
        <is>
          <t>직원 목록에서 휴직 상태 필터 또는 휴직 관리 메뉴</t>
        </is>
      </c>
      <c r="G18" s="11" t="inlineStr">
        <is>
          <t>정육아가 육아휴직 상태로 표시되고 출퇴근/급여 대상에서 제외됨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퇴사 처리 시작</t>
        </is>
      </c>
      <c r="C19" s="11" t="inlineStr">
        <is>
          <t>HR_ADMIN (hr@ctr.co.kr)</t>
        </is>
      </c>
      <c r="D19" s="11" t="inlineStr">
        <is>
          <t>Step 7에서 등록한 직원 존재</t>
        </is>
      </c>
      <c r="E19" s="11" t="inlineStr">
        <is>
          <t>퇴사일: 2026-05-31, 사유: 자발적 퇴사</t>
        </is>
      </c>
      <c r="F19" s="11" t="inlineStr">
        <is>
          <t>직원 상세 &gt; 오프보딩 시작 &gt; 퇴사일과 사유 입력</t>
        </is>
      </c>
      <c r="G19" s="11" t="inlineStr">
        <is>
          <t>오프보딩 프로세스가 시작되고 상태가 "퇴사 예정"으로 변경됨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퇴직 완료 직원 확인</t>
        </is>
      </c>
      <c r="C20" s="11" t="inlineStr">
        <is>
          <t>HR_ADMIN (hr@ctr.co.kr)</t>
        </is>
      </c>
      <c r="D20" s="11" t="inlineStr">
        <is>
          <t>로그인 완료, EDGE-008 시드 데이터 존재</t>
        </is>
      </c>
      <c r="E20" s="11" t="inlineStr">
        <is>
          <t>유퇴직 (EDGE-008)</t>
        </is>
      </c>
      <c r="F20" s="11" t="inlineStr">
        <is>
          <t>직원 목록에서 유퇴직 검색 (퇴사자 포함 필터)</t>
        </is>
      </c>
      <c r="G20" s="11" t="inlineStr">
        <is>
          <t>유퇴직이 "퇴직" 상태로 표시되고 활성 직원 목록에서는 제외됨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EMPLOYEE 내 프로필 확인</t>
        </is>
      </c>
      <c r="C21" s="11" t="inlineStr">
        <is>
          <t>EMPLOYEE (employee-a@ctr.co.kr)</t>
        </is>
      </c>
      <c r="D21" s="11" t="inlineStr">
        <is>
          <t>로그인 완료</t>
        </is>
      </c>
      <c r="E21" s="11" t="inlineStr"/>
      <c r="F21" s="11" t="inlineStr">
        <is>
          <t>좌측 메뉴 &gt; My Space &gt; 내 프로필 클릭</t>
        </is>
      </c>
      <c r="G21" s="11" t="inlineStr">
        <is>
          <t>이민준의 프로필 정보(이름, 부서, 직급, 입사일)가 정확히 표시됨</t>
        </is>
      </c>
      <c r="H21" s="11" t="inlineStr"/>
      <c r="I21" s="11" t="inlineStr"/>
      <c r="J21" s="11" t="inlineStr"/>
      <c r="K21" s="11" t="inlineStr"/>
    </row>
    <row r="22">
      <c r="A22" s="10" t="n">
        <v>21</v>
      </c>
      <c r="B22" s="11" t="inlineStr">
        <is>
          <t>EMPLOYEE 타인 정보 접근 차단</t>
        </is>
      </c>
      <c r="C22" s="11" t="inlineStr">
        <is>
          <t>EMPLOYEE (employee-a@ctr.co.kr)</t>
        </is>
      </c>
      <c r="D22" s="11" t="inlineStr">
        <is>
          <t>Step 20 완료</t>
        </is>
      </c>
      <c r="E22" s="11" t="inlineStr">
        <is>
          <t>URL: /employees/[다른직원ID]</t>
        </is>
      </c>
      <c r="F22" s="11" t="inlineStr">
        <is>
          <t>브라우저 주소창에 다른 직원의 상세 페이지 URL 직접 입력</t>
        </is>
      </c>
      <c r="G22" s="11" t="inlineStr">
        <is>
          <t>403 접근 거부 또는 권한 없음 메시지가 표시됨</t>
        </is>
      </c>
      <c r="H22" s="11" t="inlineStr"/>
      <c r="I22" s="11" t="inlineStr"/>
      <c r="J22" s="11" t="inlineStr"/>
      <c r="K22" s="11" t="inlineStr"/>
    </row>
    <row r="23">
      <c r="A23" s="10" t="n">
        <v>22</v>
      </c>
      <c r="B23" s="11" t="inlineStr">
        <is>
          <t>MANAGER 팀원 목록 확인</t>
        </is>
      </c>
      <c r="C23" s="11" t="inlineStr">
        <is>
          <t>MANAGER (manager@ctr.co.kr)</t>
        </is>
      </c>
      <c r="D23" s="11" t="inlineStr">
        <is>
          <t>로그인 완료</t>
        </is>
      </c>
      <c r="E23" s="11" t="inlineStr"/>
      <c r="F23" s="11" t="inlineStr">
        <is>
          <t>좌측 메뉴 &gt; 매니저 허브 또는 팀 관리 클릭</t>
        </is>
      </c>
      <c r="G23" s="11" t="inlineStr">
        <is>
          <t>박준혁 매니저의 직속 팀원(이민준, 정다은)만 표시됨</t>
        </is>
      </c>
      <c r="H23" s="11" t="inlineStr"/>
      <c r="I23" s="11" t="inlineStr"/>
      <c r="J23" s="11" t="inlineStr"/>
      <c r="K23" s="11" t="inlineStr"/>
    </row>
    <row r="24">
      <c r="A24" s="10" t="n">
        <v>23</v>
      </c>
      <c r="B24" s="11" t="inlineStr">
        <is>
          <t>부서 이동 발령</t>
        </is>
      </c>
      <c r="C24" s="11" t="inlineStr">
        <is>
          <t>HR_ADMIN (hr@ctr.co.kr)</t>
        </is>
      </c>
      <c r="D24" s="11" t="inlineStr">
        <is>
          <t>Step 7 완료</t>
        </is>
      </c>
      <c r="E24" s="11" t="inlineStr">
        <is>
          <t>이동 대상: 테스트직원, 새 부서: 개발팀</t>
        </is>
      </c>
      <c r="F24" s="11" t="inlineStr">
        <is>
          <t>직원 상세 &gt; 발령 처리 &gt; 부서 이동 선택 &gt; 새 부서 지정 &gt; 확인</t>
        </is>
      </c>
      <c r="G24" s="11" t="inlineStr">
        <is>
          <t>발령 이력에 부서 이동이 기록되고 직원의 소속 부서가 변경됨</t>
        </is>
      </c>
      <c r="H24" s="11" t="inlineStr"/>
      <c r="I24" s="11" t="inlineStr"/>
      <c r="J24" s="11" t="inlineStr"/>
      <c r="K24" s="11" t="inlineStr"/>
    </row>
    <row r="25">
      <c r="A25" s="10" t="n">
        <v>24</v>
      </c>
      <c r="B25" s="11" t="inlineStr">
        <is>
          <t>직급 변경</t>
        </is>
      </c>
      <c r="C25" s="11" t="inlineStr">
        <is>
          <t>HR_ADMIN (hr@ctr.co.kr)</t>
        </is>
      </c>
      <c r="D25" s="11" t="inlineStr">
        <is>
          <t>Step 23 완료</t>
        </is>
      </c>
      <c r="E25" s="11" t="inlineStr">
        <is>
          <t>새 직급: L2</t>
        </is>
      </c>
      <c r="F25" s="11" t="inlineStr">
        <is>
          <t>직원 상세 &gt; 발령 처리 &gt; 직급 변경 선택 &gt; L2 지정 &gt; 확인</t>
        </is>
      </c>
      <c r="G25" s="11" t="inlineStr">
        <is>
          <t>발령 이력에 직급 변경이 기록되고 직원의 직급이 L2로 변경됨</t>
        </is>
      </c>
      <c r="H25" s="11" t="inlineStr"/>
      <c r="I25" s="11" t="inlineStr"/>
      <c r="J25" s="11" t="inlineStr"/>
      <c r="K25" s="11" t="inlineStr"/>
    </row>
    <row r="26">
      <c r="A26" s="10" t="n">
        <v>25</v>
      </c>
      <c r="B26" s="11" t="inlineStr">
        <is>
          <t>겸직자 조회</t>
        </is>
      </c>
      <c r="C26" s="11" t="inlineStr">
        <is>
          <t>HR_ADMIN (hr@ctr.co.kr)</t>
        </is>
      </c>
      <c r="D26" s="11" t="inlineStr">
        <is>
          <t>로그인 완료, EDGE-009 시드 데이터 존재</t>
        </is>
      </c>
      <c r="E26" s="11" t="inlineStr">
        <is>
          <t>강겸직 (EDGE-009)</t>
        </is>
      </c>
      <c r="F26" s="11" t="inlineStr">
        <is>
          <t>직원 목록에서 강겸직 검색</t>
        </is>
      </c>
      <c r="G26" s="11" t="inlineStr">
        <is>
          <t>강겸직의 복수 법인 발령 정보가 모두 표시됨</t>
        </is>
      </c>
      <c r="H26" s="11" t="inlineStr"/>
      <c r="I26" s="11" t="inlineStr"/>
      <c r="J26" s="11" t="inlineStr"/>
      <c r="K26" s="11" t="inlineStr"/>
    </row>
    <row r="27">
      <c r="A27" s="10" t="n">
        <v>26</v>
      </c>
      <c r="B27" s="11" t="inlineStr">
        <is>
          <t>다직위자 조회</t>
        </is>
      </c>
      <c r="C27" s="11" t="inlineStr">
        <is>
          <t>HR_ADMIN (hr@ctr.co.kr)</t>
        </is>
      </c>
      <c r="D27" s="11" t="inlineStr">
        <is>
          <t>로그인 완료, EDGE-010 시드 데이터 존재</t>
        </is>
      </c>
      <c r="E27" s="11" t="inlineStr">
        <is>
          <t>임다직 (EDGE-010)</t>
        </is>
      </c>
      <c r="F27" s="11" t="inlineStr">
        <is>
          <t>직원 목록에서 임다직 검색 &gt; 상세 페이지 진입</t>
        </is>
      </c>
      <c r="G27" s="11" t="inlineStr">
        <is>
          <t>임다직의 3개 직위가 모두 표시됨</t>
        </is>
      </c>
      <c r="H27" s="11" t="inlineStr"/>
      <c r="I27" s="11" t="inlineStr"/>
      <c r="J27" s="11" t="inlineStr"/>
      <c r="K27" s="11" t="inlineStr"/>
    </row>
    <row r="28">
      <c r="A28" s="10" t="n">
        <v>27</v>
      </c>
      <c r="B28" s="11" t="inlineStr">
        <is>
          <t>매니저 없는 직원 확인</t>
        </is>
      </c>
      <c r="C28" s="11" t="inlineStr">
        <is>
          <t>HR_ADMIN (hr@ctr.co.kr)</t>
        </is>
      </c>
      <c r="D28" s="11" t="inlineStr">
        <is>
          <t>로그인 완료, EDGE-011 시드 데이터 존재</t>
        </is>
      </c>
      <c r="E28" s="11" t="inlineStr">
        <is>
          <t>윤대표 (EDGE-011)</t>
        </is>
      </c>
      <c r="F28" s="11" t="inlineStr">
        <is>
          <t>직원 상세에서 윤대표의 보고 라인 확인</t>
        </is>
      </c>
      <c r="G28" s="11" t="inlineStr">
        <is>
          <t>상위 보고자가 없음(최상위)으로 표시되며 오류 없이 동작</t>
        </is>
      </c>
      <c r="H28" s="11" t="inlineStr"/>
      <c r="I28" s="11" t="inlineStr"/>
      <c r="J28" s="11" t="inlineStr"/>
      <c r="K28" s="11" t="inlineStr"/>
    </row>
    <row r="29">
      <c r="A29" s="10" t="n">
        <v>28</v>
      </c>
      <c r="B29" s="11" t="inlineStr">
        <is>
          <t>부서 미배정 직원</t>
        </is>
      </c>
      <c r="C29" s="11" t="inlineStr">
        <is>
          <t>HR_ADMIN (hr@ctr.co.kr)</t>
        </is>
      </c>
      <c r="D29" s="11" t="inlineStr">
        <is>
          <t>로그인 완료, EDGE-012 시드 데이터 존재</t>
        </is>
      </c>
      <c r="E29" s="11" t="inlineStr">
        <is>
          <t>신입사 (EDGE-012)</t>
        </is>
      </c>
      <c r="F29" s="11" t="inlineStr">
        <is>
          <t>직원 목록에서 신입사 검색</t>
        </is>
      </c>
      <c r="G29" s="11" t="inlineStr">
        <is>
          <t>부서 미배정 상태가 표시되며 오류 없이 목록에 나타남</t>
        </is>
      </c>
      <c r="H29" s="11" t="inlineStr"/>
      <c r="I29" s="11" t="inlineStr"/>
      <c r="J29" s="11" t="inlineStr"/>
      <c r="K29" s="11" t="inlineStr"/>
    </row>
    <row r="30">
      <c r="A30" s="10" t="n">
        <v>29</v>
      </c>
      <c r="B30" s="11" t="inlineStr">
        <is>
          <t>법인 간 전적 직원</t>
        </is>
      </c>
      <c r="C30" s="11" t="inlineStr">
        <is>
          <t>HR_ADMIN (hr@ctr.co.kr)</t>
        </is>
      </c>
      <c r="D30" s="11" t="inlineStr">
        <is>
          <t>로그인 완료, EDGE-013 시드 데이터 존재</t>
        </is>
      </c>
      <c r="E30" s="11" t="inlineStr">
        <is>
          <t>배전적 (EDGE-013)</t>
        </is>
      </c>
      <c r="F30" s="11" t="inlineStr">
        <is>
          <t>직원 상세에서 배전적의 이력 확인</t>
        </is>
      </c>
      <c r="G30" s="11" t="inlineStr">
        <is>
          <t>법인 전적(CTR→CTR-CN) 이력이 발령 이력에 기록됨</t>
        </is>
      </c>
      <c r="H30" s="11" t="inlineStr"/>
      <c r="I30" s="11" t="inlineStr"/>
      <c r="J30" s="11" t="inlineStr"/>
      <c r="K30" s="11" t="inlineStr"/>
    </row>
    <row r="31">
      <c r="A31" s="10" t="n">
        <v>30</v>
      </c>
      <c r="B31" s="11" t="inlineStr">
        <is>
          <t>일괄 발령 처리</t>
        </is>
      </c>
      <c r="C31" s="11" t="inlineStr">
        <is>
          <t>HR_ADMIN (hr@ctr.co.kr)</t>
        </is>
      </c>
      <c r="D31" s="11" t="inlineStr">
        <is>
          <t>Step 1 완료</t>
        </is>
      </c>
      <c r="E31" s="11" t="inlineStr">
        <is>
          <t>대상: 복수 직원</t>
        </is>
      </c>
      <c r="F31" s="11" t="inlineStr">
        <is>
          <t>인사관리 &gt; 일괄 발령 메뉴 진입 &gt; 대상 직원 선택 &gt; 발령 유형 지정</t>
        </is>
      </c>
      <c r="G31" s="11" t="inlineStr">
        <is>
          <t>선택한 직원들에 대해 일괄 발령이 처리되고 이력에 기록됨</t>
        </is>
      </c>
      <c r="H31" s="11" t="inlineStr"/>
      <c r="I31" s="11" t="inlineStr"/>
      <c r="J31" s="11" t="inlineStr"/>
      <c r="K31" s="11" t="inlineStr"/>
    </row>
  </sheetData>
  <conditionalFormatting sqref="I2:I3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31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출근 기록</t>
        </is>
      </c>
      <c r="C2" s="11" t="inlineStr">
        <is>
          <t>EMPLOYEE (employee-a@ctr.co.kr)</t>
        </is>
      </c>
      <c r="D2" s="11" t="inlineStr">
        <is>
          <t>로그인 완료, 근무일</t>
        </is>
      </c>
      <c r="E2" s="11" t="inlineStr"/>
      <c r="F2" s="11" t="inlineStr">
        <is>
          <t>좌측 메뉴 &gt; My Space &gt; 내 출퇴근 &gt; 출근 버튼 클릭</t>
        </is>
      </c>
      <c r="G2" s="11" t="inlineStr">
        <is>
          <t>출근 시각이 현재 시간으로 기록되고 상태가 "근무 중"으로 변경됨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퇴근 기록</t>
        </is>
      </c>
      <c r="C3" s="11" t="inlineStr">
        <is>
          <t>EMPLOYEE (employee-a@ctr.co.kr)</t>
        </is>
      </c>
      <c r="D3" s="11" t="inlineStr">
        <is>
          <t>Step 1 완료 (출근 상태)</t>
        </is>
      </c>
      <c r="E3" s="11" t="inlineStr"/>
      <c r="F3" s="11" t="inlineStr">
        <is>
          <t>내 출퇴근 페이지에서 퇴근 버튼 클릭</t>
        </is>
      </c>
      <c r="G3" s="11" t="inlineStr">
        <is>
          <t>퇴근 시각이 기록되고 근무시간이 자동 계산됨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출퇴근 기록 조회</t>
        </is>
      </c>
      <c r="C4" s="11" t="inlineStr">
        <is>
          <t>EMPLOYEE (employee-a@ctr.co.kr)</t>
        </is>
      </c>
      <c r="D4" s="11" t="inlineStr">
        <is>
          <t>Step 2 완료</t>
        </is>
      </c>
      <c r="E4" s="11" t="inlineStr"/>
      <c r="F4" s="11" t="inlineStr">
        <is>
          <t>내 출퇴근 페이지에서 이번 주 기록 확인</t>
        </is>
      </c>
      <c r="G4" s="11" t="inlineStr">
        <is>
          <t>금일 출근/퇴근 시각과 근무시간이 정확히 표시됨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MANAGER 팀 출퇴근 현황</t>
        </is>
      </c>
      <c r="C5" s="11" t="inlineStr">
        <is>
          <t>MANAGER (manager@ctr.co.kr)</t>
        </is>
      </c>
      <c r="D5" s="11" t="inlineStr">
        <is>
          <t>로그인 완료, 팀원 출퇴근 기록 존재</t>
        </is>
      </c>
      <c r="E5" s="11" t="inlineStr"/>
      <c r="F5" s="11" t="inlineStr">
        <is>
          <t>좌측 메뉴 &gt; 출퇴근 &gt; 팀 출퇴근 클릭</t>
        </is>
      </c>
      <c r="G5" s="11" t="inlineStr">
        <is>
          <t>박준혁 매니저의 팀원(이민준, 정다은)의 출퇴근 현황이 표시됨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HR_ADMIN 출퇴근 관리</t>
        </is>
      </c>
      <c r="C6" s="11" t="inlineStr">
        <is>
          <t>HR_ADMIN (hr@ctr.co.kr)</t>
        </is>
      </c>
      <c r="D6" s="11" t="inlineStr">
        <is>
          <t>로그인 완료</t>
        </is>
      </c>
      <c r="E6" s="11" t="inlineStr"/>
      <c r="F6" s="11" t="inlineStr">
        <is>
          <t>좌측 메뉴 &gt; 출퇴근 &gt; 관리 클릭</t>
        </is>
      </c>
      <c r="G6" s="11" t="inlineStr">
        <is>
          <t>전체 직원의 출퇴근 현황이 관리자 뷰로 표시됨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이상 출퇴근 감지 — 지각</t>
        </is>
      </c>
      <c r="C7" s="11" t="inlineStr">
        <is>
          <t>HR_ADMIN (hr@ctr.co.kr)</t>
        </is>
      </c>
      <c r="D7" s="11" t="inlineStr">
        <is>
          <t>로그인 완료, EDGE-023 시드 데이터 존재</t>
        </is>
      </c>
      <c r="E7" s="11" t="inlineStr">
        <is>
          <t>지각왕 (EDGE-023)</t>
        </is>
      </c>
      <c r="F7" s="11" t="inlineStr">
        <is>
          <t>출퇴근 관리에서 이상 항목 필터 적용</t>
        </is>
      </c>
      <c r="G7" s="11" t="inlineStr">
        <is>
          <t>지각왕의 빈번한 지각 기록이 이상 항목으로 감지됨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이상 출퇴근 감지 — 결근</t>
        </is>
      </c>
      <c r="C8" s="11" t="inlineStr">
        <is>
          <t>HR_ADMIN (hr@ctr.co.kr)</t>
        </is>
      </c>
      <c r="D8" s="11" t="inlineStr">
        <is>
          <t>Step 5 완료</t>
        </is>
      </c>
      <c r="E8" s="11" t="inlineStr"/>
      <c r="F8" s="11" t="inlineStr">
        <is>
          <t>출퇴근 관리에서 결근 필터 적용</t>
        </is>
      </c>
      <c r="G8" s="11" t="inlineStr">
        <is>
          <t>미출근 직원이 결근으로 표시됨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수동 출퇴근 조정</t>
        </is>
      </c>
      <c r="C9" s="11" t="inlineStr">
        <is>
          <t>HR_ADMIN (hr@ctr.co.kr)</t>
        </is>
      </c>
      <c r="D9" s="11" t="inlineStr">
        <is>
          <t>Step 5 완료</t>
        </is>
      </c>
      <c r="E9" s="11" t="inlineStr">
        <is>
          <t>대상: 이민준, 조정 사유: 외근</t>
        </is>
      </c>
      <c r="F9" s="11" t="inlineStr">
        <is>
          <t>출퇴근 관리에서 특정 직원의 기록 선택 &gt; 수정 &gt; 사유 입력 &gt; 저장</t>
        </is>
      </c>
      <c r="G9" s="11" t="inlineStr">
        <is>
          <t>수정된 출퇴근 기록이 반영되고 조정 이력이 기록됨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교대근무 달력 확인</t>
        </is>
      </c>
      <c r="C10" s="11" t="inlineStr">
        <is>
          <t>HR_ADMIN (hr@ctr.co.kr)</t>
        </is>
      </c>
      <c r="D10" s="11" t="inlineStr">
        <is>
          <t>로그인 완료, 교대근무 설정 존재</t>
        </is>
      </c>
      <c r="E10" s="11" t="inlineStr"/>
      <c r="F10" s="11" t="inlineStr">
        <is>
          <t>좌측 메뉴 &gt; 출퇴근 &gt; 교대근무 달력 클릭</t>
        </is>
      </c>
      <c r="G10" s="11" t="inlineStr">
        <is>
          <t>교대근무 스케줄이 달력 형태로 표시됨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교대근무 로스터 조회</t>
        </is>
      </c>
      <c r="C11" s="11" t="inlineStr">
        <is>
          <t>HR_ADMIN (hr@ctr.co.kr)</t>
        </is>
      </c>
      <c r="D11" s="11" t="inlineStr">
        <is>
          <t>Step 9 완료</t>
        </is>
      </c>
      <c r="E11" s="11" t="inlineStr"/>
      <c r="F11" s="11" t="inlineStr">
        <is>
          <t>교대근무 로스터 메뉴 클릭</t>
        </is>
      </c>
      <c r="G11" s="11" t="inlineStr">
        <is>
          <t>직원별 교대 배정이 표 형태로 표시됨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팀 마감 처리</t>
        </is>
      </c>
      <c r="C12" s="11" t="inlineStr">
        <is>
          <t>MANAGER (manager@ctr.co.kr)</t>
        </is>
      </c>
      <c r="D12" s="11" t="inlineStr">
        <is>
          <t>로그인 완료, 월말</t>
        </is>
      </c>
      <c r="E12" s="11" t="inlineStr"/>
      <c r="F12" s="11" t="inlineStr">
        <is>
          <t>팀 출퇴근 &gt; 마감 처리 버튼 클릭</t>
        </is>
      </c>
      <c r="G12" s="11" t="inlineStr">
        <is>
          <t>해당 기간의 팀 출퇴근이 마감되고 상태가 "마감완료"로 변경됨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52시간 모니터링</t>
        </is>
      </c>
      <c r="C13" s="11" t="inlineStr">
        <is>
          <t>HR_ADMIN (hr@ctr.co.kr)</t>
        </is>
      </c>
      <c r="D13" s="11" t="inlineStr">
        <is>
          <t>로그인 완료, EDGE-024 시드 데이터 존재</t>
        </is>
      </c>
      <c r="E13" s="11" t="inlineStr">
        <is>
          <t>과로자 (EDGE-024)</t>
        </is>
      </c>
      <c r="F13" s="11" t="inlineStr">
        <is>
          <t>출퇴근 관리 또는 대시보드에서 주 52시간 현황 확인</t>
        </is>
      </c>
      <c r="G13" s="11" t="inlineStr">
        <is>
          <t>과로자의 주간 근무시간이 52시간 경고와 함께 표시됨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출퇴근 승인 요청</t>
        </is>
      </c>
      <c r="C14" s="11" t="inlineStr">
        <is>
          <t>EMPLOYEE (employee-a@ctr.co.kr)</t>
        </is>
      </c>
      <c r="D14" s="11" t="inlineStr">
        <is>
          <t>출퇴근 수정 필요 상황</t>
        </is>
      </c>
      <c r="E14" s="11" t="inlineStr">
        <is>
          <t>수정 사유: 기기 오류로 미퇴근 기록</t>
        </is>
      </c>
      <c r="F14" s="11" t="inlineStr">
        <is>
          <t>내 출퇴근 &gt; 수정 요청 &gt; 사유 입력 &gt; 제출</t>
        </is>
      </c>
      <c r="G14" s="11" t="inlineStr">
        <is>
          <t>출퇴근 수정 요청이 결재함으로 전송됨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출퇴근 승인 처리</t>
        </is>
      </c>
      <c r="C15" s="11" t="inlineStr">
        <is>
          <t>MANAGER (manager@ctr.co.kr)</t>
        </is>
      </c>
      <c r="D15" s="11" t="inlineStr">
        <is>
          <t>Step 13 완료</t>
        </is>
      </c>
      <c r="E15" s="11" t="inlineStr"/>
      <c r="F15" s="11" t="inlineStr">
        <is>
          <t>결재함 &gt; 출퇴근 수정 요청 확인 &gt; 승인</t>
        </is>
      </c>
      <c r="G15" s="11" t="inlineStr">
        <is>
          <t>출퇴근 수정이 승인되고 기록이 반영됨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초과근무 기록 확인</t>
        </is>
      </c>
      <c r="C16" s="11" t="inlineStr">
        <is>
          <t>EMPLOYEE (employee-a@ctr.co.kr)</t>
        </is>
      </c>
      <c r="D16" s="11" t="inlineStr">
        <is>
          <t>초과근무 기록 존재</t>
        </is>
      </c>
      <c r="E16" s="11" t="inlineStr"/>
      <c r="F16" s="11" t="inlineStr">
        <is>
          <t>내 출퇴근에서 초과근무 탭 또는 영역 확인</t>
        </is>
      </c>
      <c r="G16" s="11" t="inlineStr">
        <is>
          <t>초과근무 시간이 별도로 집계되어 표시됨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월간 출퇴근 리포트</t>
        </is>
      </c>
      <c r="C17" s="11" t="inlineStr">
        <is>
          <t>HR_ADMIN (hr@ctr.co.kr)</t>
        </is>
      </c>
      <c r="D17" s="11" t="inlineStr">
        <is>
          <t>한 달 이상의 출퇴근 데이터 존재</t>
        </is>
      </c>
      <c r="E17" s="11" t="inlineStr"/>
      <c r="F17" s="11" t="inlineStr">
        <is>
          <t>출퇴근 관리 &gt; 리포트/통계 영역 확인</t>
        </is>
      </c>
      <c r="G17" s="11" t="inlineStr">
        <is>
          <t>월간 출퇴근 통계(총 근무일, 지각/결근 건수 등)가 표시됨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휴직자 출퇴근 제외 확인</t>
        </is>
      </c>
      <c r="C18" s="11" t="inlineStr">
        <is>
          <t>HR_ADMIN (hr@ctr.co.kr)</t>
        </is>
      </c>
      <c r="D18" s="11" t="inlineStr">
        <is>
          <t>로그인 완료, EDGE-005 시드 데이터 존재</t>
        </is>
      </c>
      <c r="E18" s="11" t="inlineStr">
        <is>
          <t>정육아 (EDGE-005)</t>
        </is>
      </c>
      <c r="F18" s="11" t="inlineStr">
        <is>
          <t>출퇴근 관리에서 정육아 검색</t>
        </is>
      </c>
      <c r="G18" s="11" t="inlineStr">
        <is>
          <t>정육아(육아휴직)가 출퇴근 대상에서 제외되어 있음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퇴사 예정자 출퇴근</t>
        </is>
      </c>
      <c r="C19" s="11" t="inlineStr">
        <is>
          <t>HR_ADMIN (hr@ctr.co.kr)</t>
        </is>
      </c>
      <c r="D19" s="11" t="inlineStr">
        <is>
          <t>로그인 완료, EDGE-007 시드 데이터 존재</t>
        </is>
      </c>
      <c r="E19" s="11" t="inlineStr">
        <is>
          <t>오퇴사 (EDGE-007)</t>
        </is>
      </c>
      <c r="F19" s="11" t="inlineStr">
        <is>
          <t>출퇴근 관리에서 오퇴사 확인</t>
        </is>
      </c>
      <c r="G19" s="11" t="inlineStr">
        <is>
          <t>오퇴사는 퇴사일(2026-05-06)까지 출퇴근 대상에 포함됨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터미널/GPS 관리</t>
        </is>
      </c>
      <c r="C20" s="11" t="inlineStr">
        <is>
          <t>HR_ADMIN (hr@ctr.co.kr)</t>
        </is>
      </c>
      <c r="D20" s="11" t="inlineStr">
        <is>
          <t>로그인 완료</t>
        </is>
      </c>
      <c r="E20" s="11" t="inlineStr"/>
      <c r="F20" s="11" t="inlineStr">
        <is>
          <t>설정 &gt; 출퇴근 &gt; 터미널 관리 확인</t>
        </is>
      </c>
      <c r="G20" s="11" t="inlineStr">
        <is>
          <t>출퇴근 단말기/GPS 설정 화면이 표시됨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출퇴근 데이터 가져오기</t>
        </is>
      </c>
      <c r="C21" s="11" t="inlineStr">
        <is>
          <t>HR_ADMIN (hr@ctr.co.kr)</t>
        </is>
      </c>
      <c r="D21" s="11" t="inlineStr">
        <is>
          <t>로그인 완료</t>
        </is>
      </c>
      <c r="E21" s="11" t="inlineStr"/>
      <c r="F21" s="11" t="inlineStr">
        <is>
          <t>출퇴근 관리 &gt; 데이터 가져오기 메뉴 확인</t>
        </is>
      </c>
      <c r="G21" s="11" t="inlineStr">
        <is>
          <t>외부 출퇴근 데이터 임포트 기능이 제공됨</t>
        </is>
      </c>
      <c r="H21" s="11" t="inlineStr"/>
      <c r="I21" s="11" t="inlineStr"/>
      <c r="J21" s="11" t="inlineStr"/>
      <c r="K21" s="11" t="inlineStr"/>
    </row>
    <row r="22">
      <c r="A22" s="10" t="n">
        <v>21</v>
      </c>
      <c r="B22" s="11" t="inlineStr">
        <is>
          <t>연장/야간/휴일 근무 구분</t>
        </is>
      </c>
      <c r="C22" s="11" t="inlineStr">
        <is>
          <t>HR_ADMIN (hr@ctr.co.kr)</t>
        </is>
      </c>
      <c r="D22" s="11" t="inlineStr">
        <is>
          <t>초과근무 데이터 존재</t>
        </is>
      </c>
      <c r="E22" s="11" t="inlineStr"/>
      <c r="F22" s="11" t="inlineStr">
        <is>
          <t>출퇴근 관리에서 초과근무 유형별 조회</t>
        </is>
      </c>
      <c r="G22" s="11" t="inlineStr">
        <is>
          <t>연장근무, 야간근무, 휴일근무가 구분되어 집계됨</t>
        </is>
      </c>
      <c r="H22" s="11" t="inlineStr"/>
      <c r="I22" s="11" t="inlineStr"/>
      <c r="J22" s="11" t="inlineStr"/>
      <c r="K22" s="11" t="inlineStr"/>
    </row>
    <row r="23">
      <c r="A23" s="10" t="n">
        <v>22</v>
      </c>
      <c r="B23" s="11" t="inlineStr">
        <is>
          <t>근태 이상 일괄 처리</t>
        </is>
      </c>
      <c r="C23" s="11" t="inlineStr">
        <is>
          <t>HR_ADMIN (hr@ctr.co.kr)</t>
        </is>
      </c>
      <c r="D23" s="11" t="inlineStr">
        <is>
          <t>복수 이상 출퇴근 건 존재</t>
        </is>
      </c>
      <c r="E23" s="11" t="inlineStr"/>
      <c r="F23" s="11" t="inlineStr">
        <is>
          <t>출퇴근 관리 &gt; 이상 항목 &gt; 일괄 처리</t>
        </is>
      </c>
      <c r="G23" s="11" t="inlineStr">
        <is>
          <t>선택한 이상 항목들이 일괄로 처리됨</t>
        </is>
      </c>
      <c r="H23" s="11" t="inlineStr"/>
      <c r="I23" s="11" t="inlineStr"/>
      <c r="J23" s="11" t="inlineStr"/>
      <c r="K23" s="11" t="inlineStr"/>
    </row>
  </sheetData>
  <conditionalFormatting sqref="I2:I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23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연차 잔액 확인</t>
        </is>
      </c>
      <c r="C2" s="11" t="inlineStr">
        <is>
          <t>EMPLOYEE (employee-a@ctr.co.kr)</t>
        </is>
      </c>
      <c r="D2" s="11" t="inlineStr">
        <is>
          <t>로그인 완료</t>
        </is>
      </c>
      <c r="E2" s="11" t="inlineStr">
        <is>
          <t>예상 잔액: 15일</t>
        </is>
      </c>
      <c r="F2" s="11" t="inlineStr">
        <is>
          <t>좌측 메뉴 &gt; My Space &gt; 내 휴가 클릭</t>
        </is>
      </c>
      <c r="G2" s="11" t="inlineStr">
        <is>
          <t>이민준의 연차 잔액이 15일로 표시됨 (총/사용/잔여)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연차 신청</t>
        </is>
      </c>
      <c r="C3" s="11" t="inlineStr">
        <is>
          <t>EMPLOYEE (employee-a@ctr.co.kr)</t>
        </is>
      </c>
      <c r="D3" s="11" t="inlineStr">
        <is>
          <t>Step 1 완료</t>
        </is>
      </c>
      <c r="E3" s="11" t="inlineStr">
        <is>
          <t>신청일: 2026-04-21~22 (2일), 사유: 개인 사유</t>
        </is>
      </c>
      <c r="F3" s="11" t="inlineStr">
        <is>
          <t>내 휴가 &gt; 휴가 신청 &gt; 날짜 선택 &gt; 연차 선택 &gt; 사유 입력 &gt; 제출</t>
        </is>
      </c>
      <c r="G3" s="11" t="inlineStr">
        <is>
          <t>휴가 신청이 접수되고 상태가 "승인 대기"로 표시됨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신청 후 잔액 반영</t>
        </is>
      </c>
      <c r="C4" s="11" t="inlineStr">
        <is>
          <t>EMPLOYEE (employee-a@ctr.co.kr)</t>
        </is>
      </c>
      <c r="D4" s="11" t="inlineStr">
        <is>
          <t>Step 2 완료</t>
        </is>
      </c>
      <c r="E4" s="11" t="inlineStr"/>
      <c r="F4" s="11" t="inlineStr">
        <is>
          <t>내 휴가 페이지에서 잔액 재확인</t>
        </is>
      </c>
      <c r="G4" s="11" t="inlineStr">
        <is>
          <t>잔여 연차가 13일(승인 대기 포함)로 표시됨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MANAGER 결재함 휴가 확인</t>
        </is>
      </c>
      <c r="C5" s="11" t="inlineStr">
        <is>
          <t>MANAGER (manager@ctr.co.kr)</t>
        </is>
      </c>
      <c r="D5" s="11" t="inlineStr">
        <is>
          <t>Step 2 완료</t>
        </is>
      </c>
      <c r="E5" s="11" t="inlineStr"/>
      <c r="F5" s="11" t="inlineStr">
        <is>
          <t>좌측 메뉴 &gt; 결재 &gt; 결재함 클릭</t>
        </is>
      </c>
      <c r="G5" s="11" t="inlineStr">
        <is>
          <t>이민준의 연차 신청이 대기 건으로 표시됨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휴가 승인</t>
        </is>
      </c>
      <c r="C6" s="11" t="inlineStr">
        <is>
          <t>MANAGER (manager@ctr.co.kr)</t>
        </is>
      </c>
      <c r="D6" s="11" t="inlineStr">
        <is>
          <t>Step 4 완료</t>
        </is>
      </c>
      <c r="E6" s="11" t="inlineStr"/>
      <c r="F6" s="11" t="inlineStr">
        <is>
          <t>결재함에서 이민준의 연차 신청 선택 &gt; 승인 버튼 클릭</t>
        </is>
      </c>
      <c r="G6" s="11" t="inlineStr">
        <is>
          <t>승인 완료되고 상태가 "승인"으로 변경됨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승인 후 직원 잔액 재확인</t>
        </is>
      </c>
      <c r="C7" s="11" t="inlineStr">
        <is>
          <t>EMPLOYEE (employee-a@ctr.co.kr)</t>
        </is>
      </c>
      <c r="D7" s="11" t="inlineStr">
        <is>
          <t>Step 5 완료</t>
        </is>
      </c>
      <c r="E7" s="11" t="inlineStr"/>
      <c r="F7" s="11" t="inlineStr">
        <is>
          <t>내 휴가 페이지에서 잔액 재확인</t>
        </is>
      </c>
      <c r="G7" s="11" t="inlineStr">
        <is>
          <t>잔여 연차가 13일로 확정 표시됨 (승인 완료)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반차 신청</t>
        </is>
      </c>
      <c r="C8" s="11" t="inlineStr">
        <is>
          <t>EMPLOYEE (employee-a@ctr.co.kr)</t>
        </is>
      </c>
      <c r="D8" s="11" t="inlineStr">
        <is>
          <t>Step 6 완료</t>
        </is>
      </c>
      <c r="E8" s="11" t="inlineStr">
        <is>
          <t>신청일: 2026-04-23 오전 반차</t>
        </is>
      </c>
      <c r="F8" s="11" t="inlineStr">
        <is>
          <t>내 휴가 &gt; 휴가 신청 &gt; 반차(오전) 선택 &gt; 제출</t>
        </is>
      </c>
      <c r="G8" s="11" t="inlineStr">
        <is>
          <t>반차 0.5일이 신청되고 잔액이 그에 맞게 조정됨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병가 신청</t>
        </is>
      </c>
      <c r="C9" s="11" t="inlineStr">
        <is>
          <t>EMPLOYEE (employee-a@ctr.co.kr)</t>
        </is>
      </c>
      <c r="D9" s="11" t="inlineStr">
        <is>
          <t>Step 6 완료</t>
        </is>
      </c>
      <c r="E9" s="11" t="inlineStr">
        <is>
          <t>병가 1일, 진단서 첨부</t>
        </is>
      </c>
      <c r="F9" s="11" t="inlineStr">
        <is>
          <t>내 휴가 &gt; 휴가 신청 &gt; 병가 선택 &gt; 증빙 첨부 &gt; 제출</t>
        </is>
      </c>
      <c r="G9" s="11" t="inlineStr">
        <is>
          <t>병가가 신청되고 연차 잔액과는 별도로 처리됨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휴가 반려 테스트</t>
        </is>
      </c>
      <c r="C10" s="11" t="inlineStr">
        <is>
          <t>MANAGER (manager@ctr.co.kr)</t>
        </is>
      </c>
      <c r="D10" s="11" t="inlineStr">
        <is>
          <t>직원 휴가 신청 대기 건 존재</t>
        </is>
      </c>
      <c r="E10" s="11" t="inlineStr">
        <is>
          <t>반려 사유: 업무 일정 충돌</t>
        </is>
      </c>
      <c r="F10" s="11" t="inlineStr">
        <is>
          <t>결재함 &gt; 휴가 신청 선택 &gt; 반려 &gt; 사유 입력 &gt; 확인</t>
        </is>
      </c>
      <c r="G10" s="11" t="inlineStr">
        <is>
          <t>반려 처리되고 직원에게 반려 사유가 전달됨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반려 후 직원 확인</t>
        </is>
      </c>
      <c r="C11" s="11" t="inlineStr">
        <is>
          <t>EMPLOYEE (employee-a@ctr.co.kr)</t>
        </is>
      </c>
      <c r="D11" s="11" t="inlineStr">
        <is>
          <t>Step 9 완료</t>
        </is>
      </c>
      <c r="E11" s="11" t="inlineStr"/>
      <c r="F11" s="11" t="inlineStr">
        <is>
          <t>내 휴가에서 반려된 신청 확인</t>
        </is>
      </c>
      <c r="G11" s="11" t="inlineStr">
        <is>
          <t>반려된 신청이 "반려" 상태로 표시되고 사유가 확인 가능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HR_ADMIN 휴가 관리</t>
        </is>
      </c>
      <c r="C12" s="11" t="inlineStr">
        <is>
          <t>HR_ADMIN (hr@ctr.co.kr)</t>
        </is>
      </c>
      <c r="D12" s="11" t="inlineStr">
        <is>
          <t>로그인 완료</t>
        </is>
      </c>
      <c r="E12" s="11" t="inlineStr"/>
      <c r="F12" s="11" t="inlineStr">
        <is>
          <t>좌측 메뉴 &gt; 휴가 &gt; 관리 클릭</t>
        </is>
      </c>
      <c r="G12" s="11" t="inlineStr">
        <is>
          <t>전체 직원의 휴가 현황이 관리자 뷰로 표시됨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팀별 휴가 현황 조회</t>
        </is>
      </c>
      <c r="C13" s="11" t="inlineStr">
        <is>
          <t>MANAGER (manager@ctr.co.kr)</t>
        </is>
      </c>
      <c r="D13" s="11" t="inlineStr">
        <is>
          <t>로그인 완료</t>
        </is>
      </c>
      <c r="E13" s="11" t="inlineStr"/>
      <c r="F13" s="11" t="inlineStr">
        <is>
          <t>휴가 &gt; 팀 휴가 클릭</t>
        </is>
      </c>
      <c r="G13" s="11" t="inlineStr">
        <is>
          <t>박준혁 팀의 휴가 현황(캘린더 또는 리스트)이 표시됨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연차촉진 알림 확인</t>
        </is>
      </c>
      <c r="C14" s="11" t="inlineStr">
        <is>
          <t>HR_ADMIN (hr@ctr.co.kr)</t>
        </is>
      </c>
      <c r="D14" s="11" t="inlineStr">
        <is>
          <t>로그인 완료, 연차촉진 대상자 존재</t>
        </is>
      </c>
      <c r="E14" s="11" t="inlineStr"/>
      <c r="F14" s="11" t="inlineStr">
        <is>
          <t>휴가 관리에서 연차촉진 대상자 확인</t>
        </is>
      </c>
      <c r="G14" s="11" t="inlineStr">
        <is>
          <t>잔여 연차가 많은 직원에 대한 촉진 알림/목록이 표시됨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지정연차 확인</t>
        </is>
      </c>
      <c r="C15" s="11" t="inlineStr">
        <is>
          <t>HR_ADMIN (hr@ctr.co.kr)</t>
        </is>
      </c>
      <c r="D15" s="11" t="inlineStr">
        <is>
          <t>로그인 완료, 지정연차 설정 존재</t>
        </is>
      </c>
      <c r="E15" s="11" t="inlineStr"/>
      <c r="F15" s="11" t="inlineStr">
        <is>
          <t>설정 &gt; 휴가 &gt; 지정연차 관리 확인</t>
        </is>
      </c>
      <c r="G15" s="11" t="inlineStr">
        <is>
          <t>회사 지정 연차일이 등록되어 있고 직원 잔액에 반영됨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휴직(LOA) 신청 — 육아휴직</t>
        </is>
      </c>
      <c r="C16" s="11" t="inlineStr">
        <is>
          <t>EMPLOYEE (employee-a@ctr.co.kr)</t>
        </is>
      </c>
      <c r="D16" s="11" t="inlineStr">
        <is>
          <t>로그인 완료</t>
        </is>
      </c>
      <c r="E16" s="11" t="inlineStr">
        <is>
          <t>휴직 유형: 육아휴직, 기간: 2026-07-01 ~ 2027-06-30</t>
        </is>
      </c>
      <c r="F16" s="11" t="inlineStr">
        <is>
          <t>좌측 메뉴 &gt; My Space &gt; 내 휴직 또는 휴직 신청 메뉴 &gt; 육아휴직 선택 &gt; 기간 입력 &gt; 제출</t>
        </is>
      </c>
      <c r="G16" s="11" t="inlineStr">
        <is>
          <t>휴직 신청이 접수되고 결재 대기 상태가 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휴직 승인 워크플로</t>
        </is>
      </c>
      <c r="C17" s="11" t="inlineStr">
        <is>
          <t>HR_ADMIN (hr@ctr.co.kr)</t>
        </is>
      </c>
      <c r="D17" s="11" t="inlineStr">
        <is>
          <t>Step 15 완료</t>
        </is>
      </c>
      <c r="E17" s="11" t="inlineStr"/>
      <c r="F17" s="11" t="inlineStr">
        <is>
          <t>결재함 또는 휴직 관리에서 휴직 신청 확인 &gt; 승인</t>
        </is>
      </c>
      <c r="G17" s="11" t="inlineStr">
        <is>
          <t>휴직이 승인되고 직원 상태가 "휴직 예정" 또는 "휴직 중"으로 변경됨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휴직 복귀 처리</t>
        </is>
      </c>
      <c r="C18" s="11" t="inlineStr">
        <is>
          <t>HR_ADMIN (hr@ctr.co.kr)</t>
        </is>
      </c>
      <c r="D18" s="11" t="inlineStr">
        <is>
          <t>로그인 완료, EDGE-006 시드 데이터 존재</t>
        </is>
      </c>
      <c r="E18" s="11" t="inlineStr">
        <is>
          <t>한복귀 (EDGE-006)</t>
        </is>
      </c>
      <c r="F18" s="11" t="inlineStr">
        <is>
          <t>휴직 관리에서 한복귀 선택 &gt; 복귀 처리</t>
        </is>
      </c>
      <c r="G18" s="11" t="inlineStr">
        <is>
          <t>한복귀의 상태가 "활동"으로 변경되고 출퇴근/급여 대상에 재포함됨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연차 소진 직원 확인</t>
        </is>
      </c>
      <c r="C19" s="11" t="inlineStr">
        <is>
          <t>HR_ADMIN (hr@ctr.co.kr)</t>
        </is>
      </c>
      <c r="D19" s="11" t="inlineStr">
        <is>
          <t>로그인 완료, EDGE-021 시드 데이터 존재</t>
        </is>
      </c>
      <c r="E19" s="11" t="inlineStr">
        <is>
          <t>공소진 (EDGE-021)</t>
        </is>
      </c>
      <c r="F19" s="11" t="inlineStr">
        <is>
          <t>휴가 관리에서 공소진 검색</t>
        </is>
      </c>
      <c r="G19" s="11" t="inlineStr">
        <is>
          <t>잔여 연차가 0일로 표시되고 추가 신청 시 차단 또는 경고됨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연차 마이너스 직원</t>
        </is>
      </c>
      <c r="C20" s="11" t="inlineStr">
        <is>
          <t>HR_ADMIN (hr@ctr.co.kr)</t>
        </is>
      </c>
      <c r="D20" s="11" t="inlineStr">
        <is>
          <t>로그인 완료, EDGE-022 시드 데이터 존재</t>
        </is>
      </c>
      <c r="E20" s="11" t="inlineStr">
        <is>
          <t>마이너 (EDGE-022)</t>
        </is>
      </c>
      <c r="F20" s="11" t="inlineStr">
        <is>
          <t>휴가 관리에서 마이너 검색</t>
        </is>
      </c>
      <c r="G20" s="11" t="inlineStr">
        <is>
          <t>마이너스 잔액이 표시되고 급여 공제 연동 여부가 확인됨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경조사 휴가 신청</t>
        </is>
      </c>
      <c r="C21" s="11" t="inlineStr">
        <is>
          <t>EMPLOYEE (employee-a@ctr.co.kr)</t>
        </is>
      </c>
      <c r="D21" s="11" t="inlineStr">
        <is>
          <t>로그인 완료</t>
        </is>
      </c>
      <c r="E21" s="11" t="inlineStr">
        <is>
          <t>휴가 유형: 경조사(결혼), 3일</t>
        </is>
      </c>
      <c r="F21" s="11" t="inlineStr">
        <is>
          <t>내 휴가 &gt; 휴가 신청 &gt; 경조사 선택 &gt; 기간 입력 &gt; 제출</t>
        </is>
      </c>
      <c r="G21" s="11" t="inlineStr">
        <is>
          <t>경조사 휴가가 별도 유형으로 신청되고 연차와 분리 관리됨</t>
        </is>
      </c>
      <c r="H21" s="11" t="inlineStr"/>
      <c r="I21" s="11" t="inlineStr"/>
      <c r="J21" s="11" t="inlineStr"/>
      <c r="K21" s="11" t="inlineStr"/>
    </row>
    <row r="22">
      <c r="A22" s="10" t="n">
        <v>21</v>
      </c>
      <c r="B22" s="11" t="inlineStr">
        <is>
          <t>연차 정산 (연말)</t>
        </is>
      </c>
      <c r="C22" s="11" t="inlineStr">
        <is>
          <t>HR_ADMIN (hr@ctr.co.kr)</t>
        </is>
      </c>
      <c r="D22" s="11" t="inlineStr">
        <is>
          <t>로그인 완료</t>
        </is>
      </c>
      <c r="E22" s="11" t="inlineStr"/>
      <c r="F22" s="11" t="inlineStr">
        <is>
          <t>휴가 관리 &gt; 연차 정산 메뉴 확인</t>
        </is>
      </c>
      <c r="G22" s="11" t="inlineStr">
        <is>
          <t>연말 잔여 연차 정산 기능이 제공됨 (이월/소멸/수당전환)</t>
        </is>
      </c>
      <c r="H22" s="11" t="inlineStr"/>
      <c r="I22" s="11" t="inlineStr"/>
      <c r="J22" s="11" t="inlineStr"/>
      <c r="K22" s="11" t="inlineStr"/>
    </row>
    <row r="23">
      <c r="A23" s="10" t="n">
        <v>22</v>
      </c>
      <c r="B23" s="11" t="inlineStr">
        <is>
          <t>복합 휴가 직원 확인</t>
        </is>
      </c>
      <c r="C23" s="11" t="inlineStr">
        <is>
          <t>HR_ADMIN (hr@ctr.co.kr)</t>
        </is>
      </c>
      <c r="D23" s="11" t="inlineStr">
        <is>
          <t>로그인 완료, EDGE-025 시드 데이터 존재</t>
        </is>
      </c>
      <c r="E23" s="11" t="inlineStr">
        <is>
          <t>복합휴 (EDGE-025)</t>
        </is>
      </c>
      <c r="F23" s="11" t="inlineStr">
        <is>
          <t>휴가 관리에서 복합휴 검색</t>
        </is>
      </c>
      <c r="G23" s="11" t="inlineStr">
        <is>
          <t>복수 휴가 유형이 동시에 적용된 직원의 정보가 정확히 표시됨</t>
        </is>
      </c>
      <c r="H23" s="11" t="inlineStr"/>
      <c r="I23" s="11" t="inlineStr"/>
      <c r="J23" s="11" t="inlineStr"/>
      <c r="K23" s="11" t="inlineStr"/>
    </row>
    <row r="24">
      <c r="A24" s="10" t="n">
        <v>23</v>
      </c>
      <c r="B24" s="11" t="inlineStr">
        <is>
          <t>법정 공휴일 반영 확인</t>
        </is>
      </c>
      <c r="C24" s="11" t="inlineStr">
        <is>
          <t>EMPLOYEE (employee-a@ctr.co.kr)</t>
        </is>
      </c>
      <c r="D24" s="11" t="inlineStr">
        <is>
          <t>로그인 완료</t>
        </is>
      </c>
      <c r="E24" s="11" t="inlineStr"/>
      <c r="F24" s="11" t="inlineStr">
        <is>
          <t>내 휴가 캘린더에서 법정 공휴일 표시 확인</t>
        </is>
      </c>
      <c r="G24" s="11" t="inlineStr">
        <is>
          <t>법정 공휴일이 캘린더에 표시되고 해당일은 근무일에서 제외됨</t>
        </is>
      </c>
      <c r="H24" s="11" t="inlineStr"/>
      <c r="I24" s="11" t="inlineStr"/>
      <c r="J24" s="11" t="inlineStr"/>
      <c r="K24" s="11" t="inlineStr"/>
    </row>
    <row r="25">
      <c r="A25" s="10" t="n">
        <v>24</v>
      </c>
      <c r="B25" s="11" t="inlineStr">
        <is>
          <t>휴가 취소 기능</t>
        </is>
      </c>
      <c r="C25" s="11" t="inlineStr">
        <is>
          <t>EMPLOYEE (employee-a@ctr.co.kr)</t>
        </is>
      </c>
      <c r="D25" s="11" t="inlineStr">
        <is>
          <t>승인된 휴가 존재</t>
        </is>
      </c>
      <c r="E25" s="11" t="inlineStr"/>
      <c r="F25" s="11" t="inlineStr">
        <is>
          <t>내 휴가 &gt; 승인된 휴가 선택 &gt; 취소 요청</t>
        </is>
      </c>
      <c r="G25" s="11" t="inlineStr">
        <is>
          <t>휴가 취소 요청이 처리되고 잔액이 복구됨</t>
        </is>
      </c>
      <c r="H25" s="11" t="inlineStr"/>
      <c r="I25" s="11" t="inlineStr"/>
      <c r="J25" s="11" t="inlineStr"/>
      <c r="K25" s="11" t="inlineStr"/>
    </row>
    <row r="26">
      <c r="A26" s="10" t="n">
        <v>25</v>
      </c>
      <c r="B26" s="11" t="inlineStr">
        <is>
          <t>대리 결재자 휴가 승인</t>
        </is>
      </c>
      <c r="C26" s="11" t="inlineStr">
        <is>
          <t>MANAGER (manager2@ctr.co.kr)</t>
        </is>
      </c>
      <c r="D26" s="11" t="inlineStr">
        <is>
          <t>위임 설정 완료, 위임받은 결재 건 존재</t>
        </is>
      </c>
      <c r="E26" s="11" t="inlineStr"/>
      <c r="F26" s="11" t="inlineStr">
        <is>
          <t>결재함에서 위임된 휴가 신청 확인 &gt; 승인</t>
        </is>
      </c>
      <c r="G26" s="11" t="inlineStr">
        <is>
          <t>대리 결재자가 정상적으로 휴가를 승인할 수 있음</t>
        </is>
      </c>
      <c r="H26" s="11" t="inlineStr"/>
      <c r="I26" s="11" t="inlineStr"/>
      <c r="J26" s="11" t="inlineStr"/>
      <c r="K26" s="11" t="inlineStr"/>
    </row>
  </sheetData>
  <conditionalFormatting sqref="I2:I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26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급여 대시보드 확인</t>
        </is>
      </c>
      <c r="C2" s="11" t="inlineStr">
        <is>
          <t>HR_ADMIN (hr@ctr.co.kr)</t>
        </is>
      </c>
      <c r="D2" s="11" t="inlineStr">
        <is>
          <t>로그인 완료</t>
        </is>
      </c>
      <c r="E2" s="11" t="inlineStr"/>
      <c r="F2" s="11" t="inlineStr">
        <is>
          <t>좌측 메뉴 &gt; 급여 클릭</t>
        </is>
      </c>
      <c r="G2" s="11" t="inlineStr">
        <is>
          <t>급여 대시보드가 표시되고 최근 급여 실행 현황이 보임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급여 실행 생성</t>
        </is>
      </c>
      <c r="C3" s="11" t="inlineStr">
        <is>
          <t>HR_ADMIN (hr@ctr.co.kr)</t>
        </is>
      </c>
      <c r="D3" s="11" t="inlineStr">
        <is>
          <t>Step 1 완료</t>
        </is>
      </c>
      <c r="E3" s="11" t="inlineStr">
        <is>
          <t>급여월: 2026년 4월</t>
        </is>
      </c>
      <c r="F3" s="11" t="inlineStr">
        <is>
          <t>급여 대시보드 &gt; 새 급여 실행 생성 &gt; 2026년 4월 선택 &gt; 생성</t>
        </is>
      </c>
      <c r="G3" s="11" t="inlineStr">
        <is>
          <t>4월 급여 실행이 "초안" 상태로 생성됨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출퇴근 마감 연동</t>
        </is>
      </c>
      <c r="C4" s="11" t="inlineStr">
        <is>
          <t>HR_ADMIN (hr@ctr.co.kr)</t>
        </is>
      </c>
      <c r="D4" s="11" t="inlineStr">
        <is>
          <t>Step 2 완료</t>
        </is>
      </c>
      <c r="E4" s="11" t="inlineStr"/>
      <c r="F4" s="11" t="inlineStr">
        <is>
          <t>급여 &gt; 출퇴근 마감 메뉴에서 4월 마감 상태 확인</t>
        </is>
      </c>
      <c r="G4" s="11" t="inlineStr">
        <is>
          <t>출퇴근 마감이 급여 실행과 연동되어 근무일수/초과근무가 반영됨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급여 조정 입력</t>
        </is>
      </c>
      <c r="C5" s="11" t="inlineStr">
        <is>
          <t>HR_ADMIN (hr@ctr.co.kr)</t>
        </is>
      </c>
      <c r="D5" s="11" t="inlineStr">
        <is>
          <t>Step 2 완료</t>
        </is>
      </c>
      <c r="E5" s="11" t="inlineStr">
        <is>
          <t>대상: 이민준, 조정: 야근수당 200,000원</t>
        </is>
      </c>
      <c r="F5" s="11" t="inlineStr">
        <is>
          <t>급여 &gt; 조정 메뉴 &gt; 이민준 선택 &gt; 야근수당 입력 &gt; 저장</t>
        </is>
      </c>
      <c r="G5" s="11" t="inlineStr">
        <is>
          <t>조정 항목이 급여 실행에 반영됨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급여 이상 감지</t>
        </is>
      </c>
      <c r="C6" s="11" t="inlineStr">
        <is>
          <t>HR_ADMIN (hr@ctr.co.kr)</t>
        </is>
      </c>
      <c r="D6" s="11" t="inlineStr">
        <is>
          <t>Step 4 완료</t>
        </is>
      </c>
      <c r="E6" s="11" t="inlineStr"/>
      <c r="F6" s="11" t="inlineStr">
        <is>
          <t>급여 &gt; 이상 감지 메뉴 클릭</t>
        </is>
      </c>
      <c r="G6" s="11" t="inlineStr">
        <is>
          <t>전월 대비 큰 변동이 있는 직원이 이상 항목으로 표시됨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급여 시뮬레이션</t>
        </is>
      </c>
      <c r="C7" s="11" t="inlineStr">
        <is>
          <t>HR_ADMIN (hr@ctr.co.kr)</t>
        </is>
      </c>
      <c r="D7" s="11" t="inlineStr">
        <is>
          <t>Step 2 완료</t>
        </is>
      </c>
      <c r="E7" s="11" t="inlineStr"/>
      <c r="F7" s="11" t="inlineStr">
        <is>
          <t>급여 &gt; 시뮬레이션 메뉴에서 4월 급여 시뮬레이션 실행</t>
        </is>
      </c>
      <c r="G7" s="11" t="inlineStr">
        <is>
          <t>급여 시뮬레이션 결과가 표시되고 실제 실행 전 검증 가능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급여 검토</t>
        </is>
      </c>
      <c r="C8" s="11" t="inlineStr">
        <is>
          <t>HR_ADMIN (hr@ctr.co.kr)</t>
        </is>
      </c>
      <c r="D8" s="11" t="inlineStr">
        <is>
          <t>Step 6 완료</t>
        </is>
      </c>
      <c r="E8" s="11" t="inlineStr"/>
      <c r="F8" s="11" t="inlineStr">
        <is>
          <t>급여 실행 &gt; 검토 페이지에서 직원별 급여 항목 확인</t>
        </is>
      </c>
      <c r="G8" s="11" t="inlineStr">
        <is>
          <t>기본급, 식대, 4대보험 공제 등 항목별 금액이 정확히 표시됨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급여 승인 워크플로</t>
        </is>
      </c>
      <c r="C9" s="11" t="inlineStr">
        <is>
          <t>HR_ADMIN (hr@ctr.co.kr)</t>
        </is>
      </c>
      <c r="D9" s="11" t="inlineStr">
        <is>
          <t>Step 7 완료</t>
        </is>
      </c>
      <c r="E9" s="11" t="inlineStr"/>
      <c r="F9" s="11" t="inlineStr">
        <is>
          <t>급여 실행 &gt; 승인 요청 &gt; 승인 처리</t>
        </is>
      </c>
      <c r="G9" s="11" t="inlineStr">
        <is>
          <t>급여 실행 상태가 "승인"으로 변경됨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이체 파일 생성</t>
        </is>
      </c>
      <c r="C10" s="11" t="inlineStr">
        <is>
          <t>HR_ADMIN (hr@ctr.co.kr)</t>
        </is>
      </c>
      <c r="D10" s="11" t="inlineStr">
        <is>
          <t>Step 8 완료</t>
        </is>
      </c>
      <c r="E10" s="11" t="inlineStr"/>
      <c r="F10" s="11" t="inlineStr">
        <is>
          <t>급여 &gt; 은행 이체 메뉴에서 이체 파일 생성</t>
        </is>
      </c>
      <c r="G10" s="11" t="inlineStr">
        <is>
          <t>은행 이체용 파일이 생성되고 다운로드 가능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급여명세서 발행</t>
        </is>
      </c>
      <c r="C11" s="11" t="inlineStr">
        <is>
          <t>HR_ADMIN (hr@ctr.co.kr)</t>
        </is>
      </c>
      <c r="D11" s="11" t="inlineStr">
        <is>
          <t>Step 8 완료</t>
        </is>
      </c>
      <c r="E11" s="11" t="inlineStr"/>
      <c r="F11" s="11" t="inlineStr">
        <is>
          <t>급여 실행 &gt; 명세서 발행 클릭</t>
        </is>
      </c>
      <c r="G11" s="11" t="inlineStr">
        <is>
          <t>직원별 급여명세서가 생성되고 발행 상태가 "발행완료"로 변경됨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EMPLOYEE 급여명세서 확인</t>
        </is>
      </c>
      <c r="C12" s="11" t="inlineStr">
        <is>
          <t>EMPLOYEE (employee-a@ctr.co.kr)</t>
        </is>
      </c>
      <c r="D12" s="11" t="inlineStr">
        <is>
          <t>Step 10 완료</t>
        </is>
      </c>
      <c r="E12" s="11" t="inlineStr"/>
      <c r="F12" s="11" t="inlineStr">
        <is>
          <t>좌측 메뉴 &gt; My Space &gt; 내 급여명세서 클릭</t>
        </is>
      </c>
      <c r="G12" s="11" t="inlineStr">
        <is>
          <t>이민준의 4월 급여명세서가 표시되고 항목별 금액 확인 가능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급여명세서 항목 확인</t>
        </is>
      </c>
      <c r="C13" s="11" t="inlineStr">
        <is>
          <t>EMPLOYEE (employee-a@ctr.co.kr)</t>
        </is>
      </c>
      <c r="D13" s="11" t="inlineStr">
        <is>
          <t>Step 11 완료</t>
        </is>
      </c>
      <c r="E13" s="11" t="inlineStr"/>
      <c r="F13" s="11" t="inlineStr">
        <is>
          <t>급여명세서에서 세부 항목 확인</t>
        </is>
      </c>
      <c r="G13" s="11" t="inlineStr">
        <is>
          <t>기본급, 식대, 교통비, 4대보험(국민연금/건강보험/고용보험/산재보험) 항목이 모두 표시됨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글로벌 급여 관리</t>
        </is>
      </c>
      <c r="C14" s="11" t="inlineStr">
        <is>
          <t>HR_ADMIN (hr@ctr.co.kr)</t>
        </is>
      </c>
      <c r="D14" s="11" t="inlineStr">
        <is>
          <t>로그인 완료</t>
        </is>
      </c>
      <c r="E14" s="11" t="inlineStr"/>
      <c r="F14" s="11" t="inlineStr">
        <is>
          <t>급여 &gt; 글로벌 급여 메뉴 클릭</t>
        </is>
      </c>
      <c r="G14" s="11" t="inlineStr">
        <is>
          <t>해외 법인(CTR-CN 등)의 급여 관리 화면이 표시됨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연말정산 (KR)</t>
        </is>
      </c>
      <c r="C15" s="11" t="inlineStr">
        <is>
          <t>HR_ADMIN (hr@ctr.co.kr)</t>
        </is>
      </c>
      <c r="D15" s="11" t="inlineStr">
        <is>
          <t>로그인 완료</t>
        </is>
      </c>
      <c r="E15" s="11" t="inlineStr"/>
      <c r="F15" s="11" t="inlineStr">
        <is>
          <t>급여 &gt; 연말정산 메뉴 클릭</t>
        </is>
      </c>
      <c r="G15" s="11" t="inlineStr">
        <is>
          <t>한국 법인 직원의 연말정산 관리 화면이 표시됨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무급 인턴 급여 제외</t>
        </is>
      </c>
      <c r="C16" s="11" t="inlineStr">
        <is>
          <t>HR_ADMIN (hr@ctr.co.kr)</t>
        </is>
      </c>
      <c r="D16" s="11" t="inlineStr">
        <is>
          <t>로그인 완료, EDGE-017 시드 데이터 존재</t>
        </is>
      </c>
      <c r="E16" s="11" t="inlineStr">
        <is>
          <t>무급실 (EDGE-017)</t>
        </is>
      </c>
      <c r="F16" s="11" t="inlineStr">
        <is>
          <t>급여 실행에서 무급실 확인</t>
        </is>
      </c>
      <c r="G16" s="11" t="inlineStr">
        <is>
          <t>무급 인턴이 급여 지급 대상에서 제외되거나 0원으로 처리됨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연봉 밴드 초과자 확인</t>
        </is>
      </c>
      <c r="C17" s="11" t="inlineStr">
        <is>
          <t>HR_ADMIN (hr@ctr.co.kr)</t>
        </is>
      </c>
      <c r="D17" s="11" t="inlineStr">
        <is>
          <t>로그인 완료, EDGE-015 시드 데이터 존재</t>
        </is>
      </c>
      <c r="E17" s="11" t="inlineStr">
        <is>
          <t>고초과 (EDGE-015)</t>
        </is>
      </c>
      <c r="F17" s="11" t="inlineStr">
        <is>
          <t>보상 또는 급여 관리에서 밴드 초과자 확인</t>
        </is>
      </c>
      <c r="G17" s="11" t="inlineStr">
        <is>
          <t>고초과의 현재 연봉이 해당 직급 밴드 상한을 초과한다는 경고가 표시됨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연봉 밴드 미달자 확인</t>
        </is>
      </c>
      <c r="C18" s="11" t="inlineStr">
        <is>
          <t>HR_ADMIN (hr@ctr.co.kr)</t>
        </is>
      </c>
      <c r="D18" s="11" t="inlineStr">
        <is>
          <t>로그인 완료, EDGE-016 시드 데이터 존재</t>
        </is>
      </c>
      <c r="E18" s="11" t="inlineStr">
        <is>
          <t>하미달 (EDGE-016)</t>
        </is>
      </c>
      <c r="F18" s="11" t="inlineStr">
        <is>
          <t>보상 또는 급여 관리에서 밴드 미달자 확인</t>
        </is>
      </c>
      <c r="G18" s="11" t="inlineStr">
        <is>
          <t>하미달의 현재 연봉이 해당 직급 밴드 하한에 미달한다는 경고가 표시됨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급여 데이터 가져오기</t>
        </is>
      </c>
      <c r="C19" s="11" t="inlineStr">
        <is>
          <t>HR_ADMIN (hr@ctr.co.kr)</t>
        </is>
      </c>
      <c r="D19" s="11" t="inlineStr">
        <is>
          <t>로그인 완료</t>
        </is>
      </c>
      <c r="E19" s="11" t="inlineStr"/>
      <c r="F19" s="11" t="inlineStr">
        <is>
          <t>급여 &gt; 데이터 가져오기 메뉴 확인</t>
        </is>
      </c>
      <c r="G19" s="11" t="inlineStr">
        <is>
          <t>외부 급여 데이터 임포트 기능이 제공됨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빈번한 급여 변경 직원</t>
        </is>
      </c>
      <c r="C20" s="11" t="inlineStr">
        <is>
          <t>HR_ADMIN (hr@ctr.co.kr)</t>
        </is>
      </c>
      <c r="D20" s="11" t="inlineStr">
        <is>
          <t>로그인 완료, EDGE-018 시드 데이터 존재</t>
        </is>
      </c>
      <c r="E20" s="11" t="inlineStr">
        <is>
          <t>변봉급 (EDGE-018)</t>
        </is>
      </c>
      <c r="F20" s="11" t="inlineStr">
        <is>
          <t>급여 이상 감지에서 변봉급 확인</t>
        </is>
      </c>
      <c r="G20" s="11" t="inlineStr">
        <is>
          <t>잦은 급여 변경 이력이 이상 항목으로 감지됨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비정기 조정 대기 확인</t>
        </is>
      </c>
      <c r="C21" s="11" t="inlineStr">
        <is>
          <t>HR_ADMIN (hr@ctr.co.kr)</t>
        </is>
      </c>
      <c r="D21" s="11" t="inlineStr">
        <is>
          <t>로그인 완료, EDGE-019 시드 데이터 존재</t>
        </is>
      </c>
      <c r="E21" s="11" t="inlineStr">
        <is>
          <t>승대기 (EDGE-019)</t>
        </is>
      </c>
      <c r="F21" s="11" t="inlineStr">
        <is>
          <t>보상 &gt; 비정기 조정 목록에서 승대기 확인</t>
        </is>
      </c>
      <c r="G21" s="11" t="inlineStr">
        <is>
          <t>승인 대기 중인 비정기 조정 건이 표시됨</t>
        </is>
      </c>
      <c r="H21" s="11" t="inlineStr"/>
      <c r="I21" s="11" t="inlineStr"/>
      <c r="J21" s="11" t="inlineStr"/>
      <c r="K21" s="11" t="inlineStr"/>
    </row>
    <row r="22">
      <c r="A22" s="10" t="n">
        <v>21</v>
      </c>
      <c r="B22" s="11" t="inlineStr">
        <is>
          <t>EMPLOYEE 타인 급여 접근 차단</t>
        </is>
      </c>
      <c r="C22" s="11" t="inlineStr">
        <is>
          <t>EMPLOYEE (employee-a@ctr.co.kr)</t>
        </is>
      </c>
      <c r="D22" s="11" t="inlineStr">
        <is>
          <t>로그인 완료</t>
        </is>
      </c>
      <c r="E22" s="11" t="inlineStr">
        <is>
          <t>URL: /payroll/me/[다른직원RunID]</t>
        </is>
      </c>
      <c r="F22" s="11" t="inlineStr">
        <is>
          <t>브라우저 주소창에 다른 직원의 급여명세서 URL 직접 입력</t>
        </is>
      </c>
      <c r="G22" s="11" t="inlineStr">
        <is>
          <t>403 접근 거부 또는 본인 급여만 조회 가능</t>
        </is>
      </c>
      <c r="H22" s="11" t="inlineStr"/>
      <c r="I22" s="11" t="inlineStr"/>
      <c r="J22" s="11" t="inlineStr"/>
      <c r="K22" s="11" t="inlineStr"/>
    </row>
    <row r="23">
      <c r="A23" s="10" t="n">
        <v>22</v>
      </c>
      <c r="B23" s="11" t="inlineStr">
        <is>
          <t>급여 실행 삭제/취소</t>
        </is>
      </c>
      <c r="C23" s="11" t="inlineStr">
        <is>
          <t>HR_ADMIN (hr@ctr.co.kr)</t>
        </is>
      </c>
      <c r="D23" s="11" t="inlineStr">
        <is>
          <t>초안 상태의 급여 실행 존재</t>
        </is>
      </c>
      <c r="E23" s="11" t="inlineStr"/>
      <c r="F23" s="11" t="inlineStr">
        <is>
          <t>급여 대시보드에서 초안 상태 급여 실행 선택 &gt; 삭제/취소</t>
        </is>
      </c>
      <c r="G23" s="11" t="inlineStr">
        <is>
          <t>초안 상태의 급여 실행이 삭제/취소됨</t>
        </is>
      </c>
      <c r="H23" s="11" t="inlineStr"/>
      <c r="I23" s="11" t="inlineStr"/>
      <c r="J23" s="11" t="inlineStr"/>
      <c r="K23" s="11" t="inlineStr"/>
    </row>
  </sheetData>
  <conditionalFormatting sqref="I2:I2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23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EMPLOYEE 결재 요청 생성</t>
        </is>
      </c>
      <c r="C2" s="11" t="inlineStr">
        <is>
          <t>EMPLOYEE (employee-a@ctr.co.kr)</t>
        </is>
      </c>
      <c r="D2" s="11" t="inlineStr">
        <is>
          <t>로그인 완료</t>
        </is>
      </c>
      <c r="E2" s="11" t="inlineStr">
        <is>
          <t>휴가 신청: 연차 1일 (2026-04-25)</t>
        </is>
      </c>
      <c r="F2" s="11" t="inlineStr">
        <is>
          <t>내 휴가 &gt; 연차 신청 &gt; 제출</t>
        </is>
      </c>
      <c r="G2" s="11" t="inlineStr">
        <is>
          <t>결재 요청이 생성되고 매니저의 결재함에 전송됨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MANAGER 결재함 대기 건 확인</t>
        </is>
      </c>
      <c r="C3" s="11" t="inlineStr">
        <is>
          <t>MANAGER (manager@ctr.co.kr)</t>
        </is>
      </c>
      <c r="D3" s="11" t="inlineStr">
        <is>
          <t>Step 1 완료</t>
        </is>
      </c>
      <c r="E3" s="11" t="inlineStr"/>
      <c r="F3" s="11" t="inlineStr">
        <is>
          <t>좌측 메뉴 &gt; 결재 &gt; 결재함 클릭</t>
        </is>
      </c>
      <c r="G3" s="11" t="inlineStr">
        <is>
          <t>이민준의 휴가 신청이 대기 건으로 표시됨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결재 승인</t>
        </is>
      </c>
      <c r="C4" s="11" t="inlineStr">
        <is>
          <t>MANAGER (manager@ctr.co.kr)</t>
        </is>
      </c>
      <c r="D4" s="11" t="inlineStr">
        <is>
          <t>Step 2 완료</t>
        </is>
      </c>
      <c r="E4" s="11" t="inlineStr"/>
      <c r="F4" s="11" t="inlineStr">
        <is>
          <t>결재함에서 이민준 휴가 신청 선택 &gt; 승인</t>
        </is>
      </c>
      <c r="G4" s="11" t="inlineStr">
        <is>
          <t>결재가 승인되고 상태가 "완료"로 변경됨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결재 반려 + 사유</t>
        </is>
      </c>
      <c r="C5" s="11" t="inlineStr">
        <is>
          <t>MANAGER (manager@ctr.co.kr)</t>
        </is>
      </c>
      <c r="D5" s="11" t="inlineStr">
        <is>
          <t>새로운 결재 대기 건 존재</t>
        </is>
      </c>
      <c r="E5" s="11" t="inlineStr">
        <is>
          <t>반려 사유: 날짜 변경 요청</t>
        </is>
      </c>
      <c r="F5" s="11" t="inlineStr">
        <is>
          <t>결재함에서 대기 건 선택 &gt; 반려 &gt; 사유 입력 &gt; 확인</t>
        </is>
      </c>
      <c r="G5" s="11" t="inlineStr">
        <is>
          <t>결재가 반려되고 신청자에게 반려 사유가 전달됨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다단계 승인 흐름</t>
        </is>
      </c>
      <c r="C6" s="11" t="inlineStr">
        <is>
          <t>EMPLOYEE (employee-a@ctr.co.kr)</t>
        </is>
      </c>
      <c r="D6" s="11" t="inlineStr">
        <is>
          <t>다단계 결재 라인 설정됨 (팀장→HR)</t>
        </is>
      </c>
      <c r="E6" s="11" t="inlineStr"/>
      <c r="F6" s="11" t="inlineStr">
        <is>
          <t>결재가 필요한 요청 제출</t>
        </is>
      </c>
      <c r="G6" s="11" t="inlineStr">
        <is>
          <t>1단계(팀장) 승인 후 2단계(HR)로 자동 전달됨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다단계 2차 승인</t>
        </is>
      </c>
      <c r="C7" s="11" t="inlineStr">
        <is>
          <t>HR_ADMIN (hr@ctr.co.kr)</t>
        </is>
      </c>
      <c r="D7" s="11" t="inlineStr">
        <is>
          <t>Step 5에서 1단계 승인 완료</t>
        </is>
      </c>
      <c r="E7" s="11" t="inlineStr"/>
      <c r="F7" s="11" t="inlineStr">
        <is>
          <t>결재함에서 2단계 대기 건 확인 &gt; 승인</t>
        </is>
      </c>
      <c r="G7" s="11" t="inlineStr">
        <is>
          <t>최종 승인되고 전체 결재 프로세스가 완료됨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위임 설정</t>
        </is>
      </c>
      <c r="C8" s="11" t="inlineStr">
        <is>
          <t>MANAGER (manager@ctr.co.kr)</t>
        </is>
      </c>
      <c r="D8" s="11" t="inlineStr">
        <is>
          <t>로그인 완료</t>
        </is>
      </c>
      <c r="E8" s="11" t="inlineStr">
        <is>
          <t>위임 대상: 김서연 (manager2), 기간: 2026-04-20~30</t>
        </is>
      </c>
      <c r="F8" s="11" t="inlineStr">
        <is>
          <t>설정 &gt; 위임 관리 &gt; 새 위임 &gt; 대리자/기간 지정 &gt; 저장</t>
        </is>
      </c>
      <c r="G8" s="11" t="inlineStr">
        <is>
          <t>위임이 설정되고 해당 기간 동안 결재 건이 대리자에게 전달됨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위임 결재 동작</t>
        </is>
      </c>
      <c r="C9" s="11" t="inlineStr">
        <is>
          <t>MANAGER (manager2@ctr.co.kr)</t>
        </is>
      </c>
      <c r="D9" s="11" t="inlineStr">
        <is>
          <t>Step 7 완료, 위임 기간 중 결재 건 존재</t>
        </is>
      </c>
      <c r="E9" s="11" t="inlineStr"/>
      <c r="F9" s="11" t="inlineStr">
        <is>
          <t>결재함에서 위임받은 결재 건 확인 &gt; 승인</t>
        </is>
      </c>
      <c r="G9" s="11" t="inlineStr">
        <is>
          <t>위임 결재자(김서연)가 정상적으로 승인 처리 가능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HR_ADMIN 전체 결재 현황</t>
        </is>
      </c>
      <c r="C10" s="11" t="inlineStr">
        <is>
          <t>HR_ADMIN (hr@ctr.co.kr)</t>
        </is>
      </c>
      <c r="D10" s="11" t="inlineStr">
        <is>
          <t>로그인 완료</t>
        </is>
      </c>
      <c r="E10" s="11" t="inlineStr"/>
      <c r="F10" s="11" t="inlineStr">
        <is>
          <t>좌측 메뉴 &gt; 결재 &gt; 전체 현황 또는 결재함 클릭</t>
        </is>
      </c>
      <c r="G10" s="11" t="inlineStr">
        <is>
          <t>HR_ADMIN이 전체 법인의 결재 현황(대기/완료/반려)을 조회할 수 있음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결재 라인 설정 확인</t>
        </is>
      </c>
      <c r="C11" s="11" t="inlineStr">
        <is>
          <t>HR_ADMIN (hr@ctr.co.kr)</t>
        </is>
      </c>
      <c r="D11" s="11" t="inlineStr">
        <is>
          <t>로그인 완료</t>
        </is>
      </c>
      <c r="E11" s="11" t="inlineStr"/>
      <c r="F11" s="11" t="inlineStr">
        <is>
          <t>설정 &gt; 시스템 &gt; 결재 플로우 확인</t>
        </is>
      </c>
      <c r="G11" s="11" t="inlineStr">
        <is>
          <t>결재 유형별(휴가/출퇴근/급여 등) 결재 라인이 설정되어 있음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출퇴근 결재</t>
        </is>
      </c>
      <c r="C12" s="11" t="inlineStr">
        <is>
          <t>MANAGER (manager@ctr.co.kr)</t>
        </is>
      </c>
      <c r="D12" s="11" t="inlineStr">
        <is>
          <t>출퇴근 수정 요청 결재 건 존재</t>
        </is>
      </c>
      <c r="E12" s="11" t="inlineStr"/>
      <c r="F12" s="11" t="inlineStr">
        <is>
          <t>결재함 &gt; 출퇴근 탭에서 수정 요청 확인 &gt; 승인</t>
        </is>
      </c>
      <c r="G12" s="11" t="inlineStr">
        <is>
          <t>출퇴근 수정이 승인되고 기록에 반영됨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급여 결재</t>
        </is>
      </c>
      <c r="C13" s="11" t="inlineStr">
        <is>
          <t>HR_ADMIN (hr@ctr.co.kr)</t>
        </is>
      </c>
      <c r="D13" s="11" t="inlineStr">
        <is>
          <t>급여 실행 승인 요청 건 존재</t>
        </is>
      </c>
      <c r="E13" s="11" t="inlineStr"/>
      <c r="F13" s="11" t="inlineStr">
        <is>
          <t>결재함에서 급여 실행 승인 요청 확인 &gt; 승인</t>
        </is>
      </c>
      <c r="G13" s="11" t="inlineStr">
        <is>
          <t>급여 실행이 최종 승인됨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비정기 보상 결재</t>
        </is>
      </c>
      <c r="C14" s="11" t="inlineStr">
        <is>
          <t>HR_ADMIN (hr@ctr.co.kr)</t>
        </is>
      </c>
      <c r="D14" s="11" t="inlineStr">
        <is>
          <t>비정기 보상 결재 건 존재</t>
        </is>
      </c>
      <c r="E14" s="11" t="inlineStr"/>
      <c r="F14" s="11" t="inlineStr">
        <is>
          <t>결재함에서 비정기 보상 요청 확인 &gt; 승인</t>
        </is>
      </c>
      <c r="G14" s="11" t="inlineStr">
        <is>
          <t>비정기 보상이 승인되고 해당 직원 급여에 반영됨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결재 이력 조회</t>
        </is>
      </c>
      <c r="C15" s="11" t="inlineStr">
        <is>
          <t>EMPLOYEE (employee-a@ctr.co.kr)</t>
        </is>
      </c>
      <c r="D15" s="11" t="inlineStr">
        <is>
          <t>이전 결재 건 존재</t>
        </is>
      </c>
      <c r="E15" s="11" t="inlineStr"/>
      <c r="F15" s="11" t="inlineStr">
        <is>
          <t>결재 &gt; 내 신청 내역 확인</t>
        </is>
      </c>
      <c r="G15" s="11" t="inlineStr">
        <is>
          <t>본인이 신청한 결재 건의 이력(상태, 승인일, 결재자)이 표시됨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결재 철회</t>
        </is>
      </c>
      <c r="C16" s="11" t="inlineStr">
        <is>
          <t>EMPLOYEE (employee-a@ctr.co.kr)</t>
        </is>
      </c>
      <c r="D16" s="11" t="inlineStr">
        <is>
          <t>승인 대기 중인 결재 건 존재</t>
        </is>
      </c>
      <c r="E16" s="11" t="inlineStr"/>
      <c r="F16" s="11" t="inlineStr">
        <is>
          <t>내 신청 내역에서 대기 건 선택 &gt; 철회</t>
        </is>
      </c>
      <c r="G16" s="11" t="inlineStr">
        <is>
          <t>결재 요청이 철회되고 상태가 "철회"로 변경됨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매니저 없는 직원 결재 라인</t>
        </is>
      </c>
      <c r="C17" s="11" t="inlineStr">
        <is>
          <t>HR_ADMIN (hr@ctr.co.kr)</t>
        </is>
      </c>
      <c r="D17" s="11" t="inlineStr">
        <is>
          <t>로그인 완료, EDGE-011 시드 데이터 존재</t>
        </is>
      </c>
      <c r="E17" s="11" t="inlineStr">
        <is>
          <t>윤대표 (EDGE-011)</t>
        </is>
      </c>
      <c r="F17" s="11" t="inlineStr">
        <is>
          <t>윤대표(상위 보고자 없음)의 결재 라인 확인</t>
        </is>
      </c>
      <c r="G17" s="11" t="inlineStr">
        <is>
          <t>매니저 없는 직원의 결재가 스킵되거나 HR로 직접 전달됨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결재 알림 확인</t>
        </is>
      </c>
      <c r="C18" s="11" t="inlineStr">
        <is>
          <t>MANAGER (manager@ctr.co.kr)</t>
        </is>
      </c>
      <c r="D18" s="11" t="inlineStr">
        <is>
          <t>새 결재 건 존재</t>
        </is>
      </c>
      <c r="E18" s="11" t="inlineStr"/>
      <c r="F18" s="11" t="inlineStr">
        <is>
          <t>알림 센터에서 결재 관련 알림 확인</t>
        </is>
      </c>
      <c r="G18" s="11" t="inlineStr">
        <is>
          <t>새 결재 건에 대한 알림이 표시됨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일괄 결재</t>
        </is>
      </c>
      <c r="C19" s="11" t="inlineStr">
        <is>
          <t>MANAGER (manager@ctr.co.kr)</t>
        </is>
      </c>
      <c r="D19" s="11" t="inlineStr">
        <is>
          <t>복수 결재 대기 건 존재</t>
        </is>
      </c>
      <c r="E19" s="11" t="inlineStr"/>
      <c r="F19" s="11" t="inlineStr">
        <is>
          <t>결재함에서 복수 건 선택 &gt; 일괄 승인</t>
        </is>
      </c>
      <c r="G19" s="11" t="inlineStr">
        <is>
          <t>선택한 건들이 일괄로 승인 처리됨</t>
        </is>
      </c>
      <c r="H19" s="11" t="inlineStr"/>
      <c r="I19" s="11" t="inlineStr"/>
      <c r="J19" s="11" t="inlineStr"/>
      <c r="K19" s="11" t="inlineStr"/>
    </row>
  </sheetData>
  <conditionalFormatting sqref="I2:I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19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법인 기본정보 확인</t>
        </is>
      </c>
      <c r="C2" s="11" t="inlineStr">
        <is>
          <t>HR_ADMIN (hr@ctr.co.kr)</t>
        </is>
      </c>
      <c r="D2" s="11" t="inlineStr">
        <is>
          <t>로그인 완료</t>
        </is>
      </c>
      <c r="E2" s="11" t="inlineStr"/>
      <c r="F2" s="11" t="inlineStr">
        <is>
          <t>설정 &gt; 조직 &gt; 법인 기본정보 확인</t>
        </is>
      </c>
      <c r="G2" s="11" t="inlineStr">
        <is>
          <t>법인 코드, 사업자번호, 주소 등 기본정보가 정확히 표시됨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법인 정보 수정</t>
        </is>
      </c>
      <c r="C3" s="11" t="inlineStr">
        <is>
          <t>HR_ADMIN (hr@ctr.co.kr)</t>
        </is>
      </c>
      <c r="D3" s="11" t="inlineStr">
        <is>
          <t>Step 1 완료</t>
        </is>
      </c>
      <c r="E3" s="11" t="inlineStr">
        <is>
          <t>변경: 대표번호 수정</t>
        </is>
      </c>
      <c r="F3" s="11" t="inlineStr">
        <is>
          <t>법인 정보에서 대표번호 수정 &gt; 저장</t>
        </is>
      </c>
      <c r="G3" s="11" t="inlineStr">
        <is>
          <t>변경사항이 저장되고 반영됨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부서 구조 조회</t>
        </is>
      </c>
      <c r="C4" s="11" t="inlineStr">
        <is>
          <t>HR_ADMIN (hr@ctr.co.kr)</t>
        </is>
      </c>
      <c r="D4" s="11" t="inlineStr">
        <is>
          <t>로그인 완료</t>
        </is>
      </c>
      <c r="E4" s="11" t="inlineStr"/>
      <c r="F4" s="11" t="inlineStr">
        <is>
          <t>설정 &gt; 조직 &gt; 부서 관리 클릭</t>
        </is>
      </c>
      <c r="G4" s="11" t="inlineStr">
        <is>
          <t>부서 트리 구조가 표시되고 상위-하위 관계가 정확함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부서 추가</t>
        </is>
      </c>
      <c r="C5" s="11" t="inlineStr">
        <is>
          <t>HR_ADMIN (hr@ctr.co.kr)</t>
        </is>
      </c>
      <c r="D5" s="11" t="inlineStr">
        <is>
          <t>Step 3 완료</t>
        </is>
      </c>
      <c r="E5" s="11" t="inlineStr">
        <is>
          <t>새 부서: AI연구팀 (상위: 개발부)</t>
        </is>
      </c>
      <c r="F5" s="11" t="inlineStr">
        <is>
          <t>부서 관리 &gt; 부서 추가 &gt; 부서명, 상위부서 입력 &gt; 저장</t>
        </is>
      </c>
      <c r="G5" s="11" t="inlineStr">
        <is>
          <t>새 부서가 생성되고 트리에 올바른 위치에 표시됨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직위 관리</t>
        </is>
      </c>
      <c r="C6" s="11" t="inlineStr">
        <is>
          <t>HR_ADMIN (hr@ctr.co.kr)</t>
        </is>
      </c>
      <c r="D6" s="11" t="inlineStr">
        <is>
          <t>로그인 완료</t>
        </is>
      </c>
      <c r="E6" s="11" t="inlineStr"/>
      <c r="F6" s="11" t="inlineStr">
        <is>
          <t>설정 &gt; 조직 &gt; 직위 관리 확인</t>
        </is>
      </c>
      <c r="G6" s="11" t="inlineStr">
        <is>
          <t>직위 목록(사원, 대리, 과장, 차장, 부장, 이사 등)이 표시됨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직급-호칭 매핑 확인</t>
        </is>
      </c>
      <c r="C7" s="11" t="inlineStr">
        <is>
          <t>HR_ADMIN (hr@ctr.co.kr)</t>
        </is>
      </c>
      <c r="D7" s="11" t="inlineStr">
        <is>
          <t>로그인 완료</t>
        </is>
      </c>
      <c r="E7" s="11" t="inlineStr"/>
      <c r="F7" s="11" t="inlineStr">
        <is>
          <t>설정 &gt; 조직 &gt; 직급 관리에서 L/E/S 체계 확인</t>
        </is>
      </c>
      <c r="G7" s="11" t="inlineStr">
        <is>
          <t>직급(L1~L4, E1~E2, S1~S2) 별 호칭 매핑이 정확히 표시됨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직종/직무 관리</t>
        </is>
      </c>
      <c r="C8" s="11" t="inlineStr">
        <is>
          <t>HR_ADMIN (hr@ctr.co.kr)</t>
        </is>
      </c>
      <c r="D8" s="11" t="inlineStr">
        <is>
          <t>로그인 완료</t>
        </is>
      </c>
      <c r="E8" s="11" t="inlineStr"/>
      <c r="F8" s="11" t="inlineStr">
        <is>
          <t>설정 &gt; 조직 &gt; 직종/직무 관리 확인</t>
        </is>
      </c>
      <c r="G8" s="11" t="inlineStr">
        <is>
          <t>직종(기술, 경영 등)과 직무 목록이 표시됨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발령 규칙 확인</t>
        </is>
      </c>
      <c r="C9" s="11" t="inlineStr">
        <is>
          <t>HR_ADMIN (hr@ctr.co.kr)</t>
        </is>
      </c>
      <c r="D9" s="11" t="inlineStr">
        <is>
          <t>로그인 완료</t>
        </is>
      </c>
      <c r="E9" s="11" t="inlineStr"/>
      <c r="F9" s="11" t="inlineStr">
        <is>
          <t>설정 &gt; 조직 &gt; 발령 규칙 확인</t>
        </is>
      </c>
      <c r="G9" s="11" t="inlineStr">
        <is>
          <t>발령 유형별 규칙(승진 요건, 이동 제한 등)이 설정되어 있음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수습 기간 설정</t>
        </is>
      </c>
      <c r="C10" s="11" t="inlineStr">
        <is>
          <t>HR_ADMIN (hr@ctr.co.kr)</t>
        </is>
      </c>
      <c r="D10" s="11" t="inlineStr">
        <is>
          <t>로그인 완료</t>
        </is>
      </c>
      <c r="E10" s="11" t="inlineStr"/>
      <c r="F10" s="11" t="inlineStr">
        <is>
          <t>설정 &gt; 조직 &gt; 수습 기간 설정 확인</t>
        </is>
      </c>
      <c r="G10" s="11" t="inlineStr">
        <is>
          <t>수습 기간(3개월/6개월 등)이 설정되어 있음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커스텀 필드 관리</t>
        </is>
      </c>
      <c r="C11" s="11" t="inlineStr">
        <is>
          <t>HR_ADMIN (hr@ctr.co.kr)</t>
        </is>
      </c>
      <c r="D11" s="11" t="inlineStr">
        <is>
          <t>로그인 완료</t>
        </is>
      </c>
      <c r="E11" s="11" t="inlineStr"/>
      <c r="F11" s="11" t="inlineStr">
        <is>
          <t>설정 &gt; 조직 &gt; 커스텀 필드 관리 확인</t>
        </is>
      </c>
      <c r="G11" s="11" t="inlineStr">
        <is>
          <t>사용자 정의 필드 목록이 표시되고 추가/수정 가능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코드 관리</t>
        </is>
      </c>
      <c r="C12" s="11" t="inlineStr">
        <is>
          <t>HR_ADMIN (hr@ctr.co.kr)</t>
        </is>
      </c>
      <c r="D12" s="11" t="inlineStr">
        <is>
          <t>로그인 완료</t>
        </is>
      </c>
      <c r="E12" s="11" t="inlineStr"/>
      <c r="F12" s="11" t="inlineStr">
        <is>
          <t>설정 &gt; 조직 &gt; 코드 관리 확인</t>
        </is>
      </c>
      <c r="G12" s="11" t="inlineStr">
        <is>
          <t>시스템 코드(고용형태, 발령유형 등) 목록이 관리 가능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근무지 관리</t>
        </is>
      </c>
      <c r="C13" s="11" t="inlineStr">
        <is>
          <t>HR_ADMIN (hr@ctr.co.kr)</t>
        </is>
      </c>
      <c r="D13" s="11" t="inlineStr">
        <is>
          <t>로그인 완료</t>
        </is>
      </c>
      <c r="E13" s="11" t="inlineStr"/>
      <c r="F13" s="11" t="inlineStr">
        <is>
          <t>설정 &gt; 조직 &gt; 근무지 관리 확인</t>
        </is>
      </c>
      <c r="G13" s="11" t="inlineStr">
        <is>
          <t>근무지 목록(본사, 지사 등)이 표시되고 위치 정보 확인 가능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근무 스케줄 확인</t>
        </is>
      </c>
      <c r="C14" s="11" t="inlineStr">
        <is>
          <t>HR_ADMIN (hr@ctr.co.kr)</t>
        </is>
      </c>
      <c r="D14" s="11" t="inlineStr">
        <is>
          <t>로그인 완료</t>
        </is>
      </c>
      <c r="E14" s="11" t="inlineStr"/>
      <c r="F14" s="11" t="inlineStr">
        <is>
          <t>설정 &gt; 출퇴근 &gt; 근무 스케줄 확인</t>
        </is>
      </c>
      <c r="G14" s="11" t="inlineStr">
        <is>
          <t>기본 근무 스케줄(출근 09:00, 퇴근 18:00 등)이 설정되어 있음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근무 스케줄 수정</t>
        </is>
      </c>
      <c r="C15" s="11" t="inlineStr">
        <is>
          <t>HR_ADMIN (hr@ctr.co.kr)</t>
        </is>
      </c>
      <c r="D15" s="11" t="inlineStr">
        <is>
          <t>Step 13 완료</t>
        </is>
      </c>
      <c r="E15" s="11" t="inlineStr">
        <is>
          <t>변경: 유연근무제 점심시간 12:00~13:00</t>
        </is>
      </c>
      <c r="F15" s="11" t="inlineStr">
        <is>
          <t>근무 스케줄 수정 &gt; 저장</t>
        </is>
      </c>
      <c r="G15" s="11" t="inlineStr">
        <is>
          <t>변경된 스케줄이 저장되고 반영됨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주간 근무한도 설정</t>
        </is>
      </c>
      <c r="C16" s="11" t="inlineStr">
        <is>
          <t>HR_ADMIN (hr@ctr.co.kr)</t>
        </is>
      </c>
      <c r="D16" s="11" t="inlineStr">
        <is>
          <t>로그인 완료</t>
        </is>
      </c>
      <c r="E16" s="11" t="inlineStr"/>
      <c r="F16" s="11" t="inlineStr">
        <is>
          <t>설정 &gt; 출퇴근 &gt; 근무한도에서 52시간 설정 확인</t>
        </is>
      </c>
      <c r="G16" s="11" t="inlineStr">
        <is>
          <t>주 52시간 한도가 설정되어 있고 경고 임계값이 확인됨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교대근무 패턴</t>
        </is>
      </c>
      <c r="C17" s="11" t="inlineStr">
        <is>
          <t>HR_ADMIN (hr@ctr.co.kr)</t>
        </is>
      </c>
      <c r="D17" s="11" t="inlineStr">
        <is>
          <t>로그인 완료</t>
        </is>
      </c>
      <c r="E17" s="11" t="inlineStr"/>
      <c r="F17" s="11" t="inlineStr">
        <is>
          <t>설정 &gt; 출퇴근 &gt; 교대근무 패턴 확인</t>
        </is>
      </c>
      <c r="G17" s="11" t="inlineStr">
        <is>
          <t>교대근무 패턴(주간/야간/3교대 등)이 설정되어 있음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휴가 유형 확인</t>
        </is>
      </c>
      <c r="C18" s="11" t="inlineStr">
        <is>
          <t>HR_ADMIN (hr@ctr.co.kr)</t>
        </is>
      </c>
      <c r="D18" s="11" t="inlineStr">
        <is>
          <t>로그인 완료</t>
        </is>
      </c>
      <c r="E18" s="11" t="inlineStr"/>
      <c r="F18" s="11" t="inlineStr">
        <is>
          <t>설정 &gt; 휴가 &gt; 휴가 유형 관리 확인</t>
        </is>
      </c>
      <c r="G18" s="11" t="inlineStr">
        <is>
          <t>연차, 병가, 경조사, 출산휴가 등 휴가 유형이 목록으로 표시됨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휴가 부여 규칙</t>
        </is>
      </c>
      <c r="C19" s="11" t="inlineStr">
        <is>
          <t>HR_ADMIN (hr@ctr.co.kr)</t>
        </is>
      </c>
      <c r="D19" s="11" t="inlineStr">
        <is>
          <t>로그인 완료</t>
        </is>
      </c>
      <c r="E19" s="11" t="inlineStr"/>
      <c r="F19" s="11" t="inlineStr">
        <is>
          <t>설정 &gt; 휴가 &gt; 부여 규칙 확인</t>
        </is>
      </c>
      <c r="G19" s="11" t="inlineStr">
        <is>
          <t>근속연수별 연차 부여 규칙이 설정되어 있음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연차촉진 설정</t>
        </is>
      </c>
      <c r="C20" s="11" t="inlineStr">
        <is>
          <t>HR_ADMIN (hr@ctr.co.kr)</t>
        </is>
      </c>
      <c r="D20" s="11" t="inlineStr">
        <is>
          <t>로그인 완료</t>
        </is>
      </c>
      <c r="E20" s="11" t="inlineStr"/>
      <c r="F20" s="11" t="inlineStr">
        <is>
          <t>설정 &gt; 휴가 &gt; 연차촉진 설정 확인</t>
        </is>
      </c>
      <c r="G20" s="11" t="inlineStr">
        <is>
          <t>연차촉진 알림 기준(잔여일수, 알림 시점 등)이 설정됨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지정연차 관리</t>
        </is>
      </c>
      <c r="C21" s="11" t="inlineStr">
        <is>
          <t>HR_ADMIN (hr@ctr.co.kr)</t>
        </is>
      </c>
      <c r="D21" s="11" t="inlineStr">
        <is>
          <t>로그인 완료</t>
        </is>
      </c>
      <c r="E21" s="11" t="inlineStr"/>
      <c r="F21" s="11" t="inlineStr">
        <is>
          <t>설정 &gt; 휴가 &gt; 지정연차 관리 확인</t>
        </is>
      </c>
      <c r="G21" s="11" t="inlineStr">
        <is>
          <t>회사 지정 연차일 등록/관리 기능이 제공됨</t>
        </is>
      </c>
      <c r="H21" s="11" t="inlineStr"/>
      <c r="I21" s="11" t="inlineStr"/>
      <c r="J21" s="11" t="inlineStr"/>
      <c r="K21" s="11" t="inlineStr"/>
    </row>
    <row r="22">
      <c r="A22" s="10" t="n">
        <v>21</v>
      </c>
      <c r="B22" s="11" t="inlineStr">
        <is>
          <t>법정 공휴일 캘린더</t>
        </is>
      </c>
      <c r="C22" s="11" t="inlineStr">
        <is>
          <t>HR_ADMIN (hr@ctr.co.kr)</t>
        </is>
      </c>
      <c r="D22" s="11" t="inlineStr">
        <is>
          <t>로그인 완료</t>
        </is>
      </c>
      <c r="E22" s="11" t="inlineStr"/>
      <c r="F22" s="11" t="inlineStr">
        <is>
          <t>설정 &gt; 휴가 &gt; 공휴일 캘린더 확인</t>
        </is>
      </c>
      <c r="G22" s="11" t="inlineStr">
        <is>
          <t>한국 법정 공휴일이 등록되어 있고 연도별 관리 가능</t>
        </is>
      </c>
      <c r="H22" s="11" t="inlineStr"/>
      <c r="I22" s="11" t="inlineStr"/>
      <c r="J22" s="11" t="inlineStr"/>
      <c r="K22" s="11" t="inlineStr"/>
    </row>
    <row r="23">
      <c r="A23" s="10" t="n">
        <v>22</v>
      </c>
      <c r="B23" s="11" t="inlineStr">
        <is>
          <t>초과근무 설정</t>
        </is>
      </c>
      <c r="C23" s="11" t="inlineStr">
        <is>
          <t>HR_ADMIN (hr@ctr.co.kr)</t>
        </is>
      </c>
      <c r="D23" s="11" t="inlineStr">
        <is>
          <t>로그인 완료</t>
        </is>
      </c>
      <c r="E23" s="11" t="inlineStr"/>
      <c r="F23" s="11" t="inlineStr">
        <is>
          <t>설정 &gt; 출퇴근 &gt; 초과근무 설정 확인</t>
        </is>
      </c>
      <c r="G23" s="11" t="inlineStr">
        <is>
          <t>초과근무 승인 방식, 수당 계산 규칙이 설정되어 있음</t>
        </is>
      </c>
      <c r="H23" s="11" t="inlineStr"/>
      <c r="I23" s="11" t="inlineStr"/>
      <c r="J23" s="11" t="inlineStr"/>
      <c r="K23" s="11" t="inlineStr"/>
    </row>
    <row r="24">
      <c r="A24" s="10" t="n">
        <v>23</v>
      </c>
      <c r="B24" s="11" t="inlineStr">
        <is>
          <t>휴직 유형 관리</t>
        </is>
      </c>
      <c r="C24" s="11" t="inlineStr">
        <is>
          <t>HR_ADMIN (hr@ctr.co.kr)</t>
        </is>
      </c>
      <c r="D24" s="11" t="inlineStr">
        <is>
          <t>로그인 완료</t>
        </is>
      </c>
      <c r="E24" s="11" t="inlineStr"/>
      <c r="F24" s="11" t="inlineStr">
        <is>
          <t>설정 &gt; 휴가 &gt; 휴직 유형 관리 확인</t>
        </is>
      </c>
      <c r="G24" s="11" t="inlineStr">
        <is>
          <t>육아휴직, 병간호휴직, 개인사유 등 휴직 유형이 관리 가능</t>
        </is>
      </c>
      <c r="H24" s="11" t="inlineStr"/>
      <c r="I24" s="11" t="inlineStr"/>
      <c r="J24" s="11" t="inlineStr"/>
      <c r="K24" s="11" t="inlineStr"/>
    </row>
    <row r="25">
      <c r="A25" s="10" t="n">
        <v>24</v>
      </c>
      <c r="B25" s="11" t="inlineStr">
        <is>
          <t>급여 항목 관리</t>
        </is>
      </c>
      <c r="C25" s="11" t="inlineStr">
        <is>
          <t>HR_ADMIN (hr@ctr.co.kr)</t>
        </is>
      </c>
      <c r="D25" s="11" t="inlineStr">
        <is>
          <t>로그인 완료</t>
        </is>
      </c>
      <c r="E25" s="11" t="inlineStr"/>
      <c r="F25" s="11" t="inlineStr">
        <is>
          <t>설정 &gt; 급여 &gt; 급여 항목 관리 확인</t>
        </is>
      </c>
      <c r="G25" s="11" t="inlineStr">
        <is>
          <t>기본급, 식대, 교통비 등 급여 항목이 목록으로 표시됨</t>
        </is>
      </c>
      <c r="H25" s="11" t="inlineStr"/>
      <c r="I25" s="11" t="inlineStr"/>
      <c r="J25" s="11" t="inlineStr"/>
      <c r="K25" s="11" t="inlineStr"/>
    </row>
    <row r="26">
      <c r="A26" s="10" t="n">
        <v>25</v>
      </c>
      <c r="B26" s="11" t="inlineStr">
        <is>
          <t>공제 항목 관리</t>
        </is>
      </c>
      <c r="C26" s="11" t="inlineStr">
        <is>
          <t>HR_ADMIN (hr@ctr.co.kr)</t>
        </is>
      </c>
      <c r="D26" s="11" t="inlineStr">
        <is>
          <t>로그인 완료</t>
        </is>
      </c>
      <c r="E26" s="11" t="inlineStr"/>
      <c r="F26" s="11" t="inlineStr">
        <is>
          <t>설정 &gt; 급여 &gt; 공제 항목 관리 확인</t>
        </is>
      </c>
      <c r="G26" s="11" t="inlineStr">
        <is>
          <t>국민연금, 건강보험, 고용보험, 소득세 등 공제 항목이 표시됨</t>
        </is>
      </c>
      <c r="H26" s="11" t="inlineStr"/>
      <c r="I26" s="11" t="inlineStr"/>
      <c r="J26" s="11" t="inlineStr"/>
      <c r="K26" s="11" t="inlineStr"/>
    </row>
    <row r="27">
      <c r="A27" s="10" t="n">
        <v>26</v>
      </c>
      <c r="B27" s="11" t="inlineStr">
        <is>
          <t>비과세 한도 확인</t>
        </is>
      </c>
      <c r="C27" s="11" t="inlineStr">
        <is>
          <t>HR_ADMIN (hr@ctr.co.kr)</t>
        </is>
      </c>
      <c r="D27" s="11" t="inlineStr">
        <is>
          <t>로그인 완료</t>
        </is>
      </c>
      <c r="E27" s="11" t="inlineStr"/>
      <c r="F27" s="11" t="inlineStr">
        <is>
          <t>설정 &gt; 급여 &gt; 비과세 한도 확인</t>
        </is>
      </c>
      <c r="G27" s="11" t="inlineStr">
        <is>
          <t>식대, 교통비 등 비과세 한도가 설정되어 있음</t>
        </is>
      </c>
      <c r="H27" s="11" t="inlineStr"/>
      <c r="I27" s="11" t="inlineStr"/>
      <c r="J27" s="11" t="inlineStr"/>
      <c r="K27" s="11" t="inlineStr"/>
    </row>
    <row r="28">
      <c r="A28" s="10" t="n">
        <v>27</v>
      </c>
      <c r="B28" s="11" t="inlineStr">
        <is>
          <t>연봉 밴드 확인</t>
        </is>
      </c>
      <c r="C28" s="11" t="inlineStr">
        <is>
          <t>HR_ADMIN (hr@ctr.co.kr)</t>
        </is>
      </c>
      <c r="D28" s="11" t="inlineStr">
        <is>
          <t>로그인 완료</t>
        </is>
      </c>
      <c r="E28" s="11" t="inlineStr"/>
      <c r="F28" s="11" t="inlineStr">
        <is>
          <t>설정 &gt; 급여 &gt; 연봉 밴드 확인</t>
        </is>
      </c>
      <c r="G28" s="11" t="inlineStr">
        <is>
          <t>직급별 연봉 밴드(최소~최대) 범위가 설정되어 있음</t>
        </is>
      </c>
      <c r="H28" s="11" t="inlineStr"/>
      <c r="I28" s="11" t="inlineStr"/>
      <c r="J28" s="11" t="inlineStr"/>
      <c r="K28" s="11" t="inlineStr"/>
    </row>
    <row r="29">
      <c r="A29" s="10" t="n">
        <v>28</v>
      </c>
      <c r="B29" s="11" t="inlineStr">
        <is>
          <t>인상률 매트릭스</t>
        </is>
      </c>
      <c r="C29" s="11" t="inlineStr">
        <is>
          <t>HR_ADMIN (hr@ctr.co.kr)</t>
        </is>
      </c>
      <c r="D29" s="11" t="inlineStr">
        <is>
          <t>로그인 완료</t>
        </is>
      </c>
      <c r="E29" s="11" t="inlineStr"/>
      <c r="F29" s="11" t="inlineStr">
        <is>
          <t>설정 &gt; 급여 &gt; 인상률 매트릭스 확인</t>
        </is>
      </c>
      <c r="G29" s="11" t="inlineStr">
        <is>
          <t>성과등급별 인상률 매트릭스가 설정되어 있음</t>
        </is>
      </c>
      <c r="H29" s="11" t="inlineStr"/>
      <c r="I29" s="11" t="inlineStr"/>
      <c r="J29" s="11" t="inlineStr"/>
      <c r="K29" s="11" t="inlineStr"/>
    </row>
    <row r="30">
      <c r="A30" s="10" t="n">
        <v>29</v>
      </c>
      <c r="B30" s="11" t="inlineStr">
        <is>
          <t>성과급 규칙</t>
        </is>
      </c>
      <c r="C30" s="11" t="inlineStr">
        <is>
          <t>HR_ADMIN (hr@ctr.co.kr)</t>
        </is>
      </c>
      <c r="D30" s="11" t="inlineStr">
        <is>
          <t>로그인 완료</t>
        </is>
      </c>
      <c r="E30" s="11" t="inlineStr"/>
      <c r="F30" s="11" t="inlineStr">
        <is>
          <t>설정 &gt; 급여 &gt; 성과급 규칙 확인</t>
        </is>
      </c>
      <c r="G30" s="11" t="inlineStr">
        <is>
          <t>성과등급별 성과급 비율/금액 규칙이 설정되어 있음</t>
        </is>
      </c>
      <c r="H30" s="11" t="inlineStr"/>
      <c r="I30" s="11" t="inlineStr"/>
      <c r="J30" s="11" t="inlineStr"/>
      <c r="K30" s="11" t="inlineStr"/>
    </row>
    <row r="31">
      <c r="A31" s="10" t="n">
        <v>30</v>
      </c>
      <c r="B31" s="11" t="inlineStr">
        <is>
          <t>급여일 설정</t>
        </is>
      </c>
      <c r="C31" s="11" t="inlineStr">
        <is>
          <t>HR_ADMIN (hr@ctr.co.kr)</t>
        </is>
      </c>
      <c r="D31" s="11" t="inlineStr">
        <is>
          <t>로그인 완료</t>
        </is>
      </c>
      <c r="E31" s="11" t="inlineStr"/>
      <c r="F31" s="11" t="inlineStr">
        <is>
          <t>설정 &gt; 급여 &gt; 급여일 설정 확인</t>
        </is>
      </c>
      <c r="G31" s="11" t="inlineStr">
        <is>
          <t>매월 급여일(25일 등)이 설정되어 있음</t>
        </is>
      </c>
      <c r="H31" s="11" t="inlineStr"/>
      <c r="I31" s="11" t="inlineStr"/>
      <c r="J31" s="11" t="inlineStr"/>
      <c r="K31" s="11" t="inlineStr"/>
    </row>
    <row r="32">
      <c r="A32" s="10" t="n">
        <v>31</v>
      </c>
      <c r="B32" s="11" t="inlineStr">
        <is>
          <t>통화/환율 관리</t>
        </is>
      </c>
      <c r="C32" s="11" t="inlineStr">
        <is>
          <t>HR_ADMIN (hr@ctr.co.kr)</t>
        </is>
      </c>
      <c r="D32" s="11" t="inlineStr">
        <is>
          <t>로그인 완료</t>
        </is>
      </c>
      <c r="E32" s="11" t="inlineStr"/>
      <c r="F32" s="11" t="inlineStr">
        <is>
          <t>설정 &gt; 급여 &gt; 통화/환율 관리 확인</t>
        </is>
      </c>
      <c r="G32" s="11" t="inlineStr">
        <is>
          <t>해외 법인 통화(CNY, USD 등)와 환율이 관리 가능</t>
        </is>
      </c>
      <c r="H32" s="11" t="inlineStr"/>
      <c r="I32" s="11" t="inlineStr"/>
      <c r="J32" s="11" t="inlineStr"/>
      <c r="K32" s="11" t="inlineStr"/>
    </row>
    <row r="33">
      <c r="A33" s="10" t="n">
        <v>32</v>
      </c>
      <c r="B33" s="11" t="inlineStr">
        <is>
          <t>성과 평가 주기 설정</t>
        </is>
      </c>
      <c r="C33" s="11" t="inlineStr">
        <is>
          <t>HR_ADMIN (hr@ctr.co.kr)</t>
        </is>
      </c>
      <c r="D33" s="11" t="inlineStr">
        <is>
          <t>로그인 완료</t>
        </is>
      </c>
      <c r="E33" s="11" t="inlineStr"/>
      <c r="F33" s="11" t="inlineStr">
        <is>
          <t>설정 &gt; 성과 &gt; 평가 주기 설정 확인</t>
        </is>
      </c>
      <c r="G33" s="11" t="inlineStr">
        <is>
          <t>연간/반기/분기 등 평가 주기가 설정되어 있음</t>
        </is>
      </c>
      <c r="H33" s="11" t="inlineStr"/>
      <c r="I33" s="11" t="inlineStr"/>
      <c r="J33" s="11" t="inlineStr"/>
      <c r="K33" s="11" t="inlineStr"/>
    </row>
    <row r="34">
      <c r="A34" s="10" t="n">
        <v>33</v>
      </c>
      <c r="B34" s="11" t="inlineStr">
        <is>
          <t>평가 항목 설정</t>
        </is>
      </c>
      <c r="C34" s="11" t="inlineStr">
        <is>
          <t>HR_ADMIN (hr@ctr.co.kr)</t>
        </is>
      </c>
      <c r="D34" s="11" t="inlineStr">
        <is>
          <t>로그인 완료</t>
        </is>
      </c>
      <c r="E34" s="11" t="inlineStr"/>
      <c r="F34" s="11" t="inlineStr">
        <is>
          <t>설정 &gt; 성과 &gt; 평가 항목/가중치 확인</t>
        </is>
      </c>
      <c r="G34" s="11" t="inlineStr">
        <is>
          <t>역량평가, 업적평가 등 항목과 가중치가 설정되어 있음</t>
        </is>
      </c>
      <c r="H34" s="11" t="inlineStr"/>
      <c r="I34" s="11" t="inlineStr"/>
      <c r="J34" s="11" t="inlineStr"/>
      <c r="K34" s="11" t="inlineStr"/>
    </row>
    <row r="35">
      <c r="A35" s="10" t="n">
        <v>34</v>
      </c>
      <c r="B35" s="11" t="inlineStr">
        <is>
          <t>채용 파이프라인 설정</t>
        </is>
      </c>
      <c r="C35" s="11" t="inlineStr">
        <is>
          <t>HR_ADMIN (hr@ctr.co.kr)</t>
        </is>
      </c>
      <c r="D35" s="11" t="inlineStr">
        <is>
          <t>로그인 완료</t>
        </is>
      </c>
      <c r="E35" s="11" t="inlineStr"/>
      <c r="F35" s="11" t="inlineStr">
        <is>
          <t>설정 &gt; 채용 &gt; 채용 파이프라인 설정 확인</t>
        </is>
      </c>
      <c r="G35" s="11" t="inlineStr">
        <is>
          <t>서류전형→면접→최종 등 채용 단계가 설정되어 있음</t>
        </is>
      </c>
      <c r="H35" s="11" t="inlineStr"/>
      <c r="I35" s="11" t="inlineStr"/>
      <c r="J35" s="11" t="inlineStr"/>
      <c r="K35" s="11" t="inlineStr"/>
    </row>
    <row r="36">
      <c r="A36" s="10" t="n">
        <v>35</v>
      </c>
      <c r="B36" s="11" t="inlineStr">
        <is>
          <t>시스템 결재 플로우 설정</t>
        </is>
      </c>
      <c r="C36" s="11" t="inlineStr">
        <is>
          <t>HR_ADMIN (hr@ctr.co.kr)</t>
        </is>
      </c>
      <c r="D36" s="11" t="inlineStr">
        <is>
          <t>로그인 완료</t>
        </is>
      </c>
      <c r="E36" s="11" t="inlineStr"/>
      <c r="F36" s="11" t="inlineStr">
        <is>
          <t>설정 &gt; 시스템 &gt; 결재 플로우 확인</t>
        </is>
      </c>
      <c r="G36" s="11" t="inlineStr">
        <is>
          <t>결재 유형별 결재 라인과 규칙이 설정되어 있음</t>
        </is>
      </c>
      <c r="H36" s="11" t="inlineStr"/>
      <c r="I36" s="11" t="inlineStr"/>
      <c r="J36" s="11" t="inlineStr"/>
      <c r="K36" s="11" t="inlineStr"/>
    </row>
    <row r="37">
      <c r="A37" s="10" t="n">
        <v>36</v>
      </c>
      <c r="B37" s="11" t="inlineStr">
        <is>
          <t>알림 설정</t>
        </is>
      </c>
      <c r="C37" s="11" t="inlineStr">
        <is>
          <t>HR_ADMIN (hr@ctr.co.kr)</t>
        </is>
      </c>
      <c r="D37" s="11" t="inlineStr">
        <is>
          <t>로그인 완료</t>
        </is>
      </c>
      <c r="E37" s="11" t="inlineStr"/>
      <c r="F37" s="11" t="inlineStr">
        <is>
          <t>설정 &gt; 시스템 &gt; 알림 설정 확인</t>
        </is>
      </c>
      <c r="G37" s="11" t="inlineStr">
        <is>
          <t>이메일/인앱 알림 유형별 설정이 관리 가능</t>
        </is>
      </c>
      <c r="H37" s="11" t="inlineStr"/>
      <c r="I37" s="11" t="inlineStr"/>
      <c r="J37" s="11" t="inlineStr"/>
      <c r="K37" s="11" t="inlineStr"/>
    </row>
  </sheetData>
  <conditionalFormatting sqref="I2:I3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37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0B981"/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성과 관리</t>
        </is>
      </c>
      <c r="C2" s="11" t="inlineStr">
        <is>
          <t>성과 대시보드 (/performance)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성과 관리</t>
        </is>
      </c>
      <c r="C3" s="11" t="inlineStr">
        <is>
          <t>관리자 뷰 (/performance/admin)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목표 설정</t>
        </is>
      </c>
      <c r="C4" s="11" t="inlineStr">
        <is>
          <t>목표 목록 (/performance/goals)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목표 설정</t>
        </is>
      </c>
      <c r="C5" s="11" t="inlineStr">
        <is>
          <t>새 목표 생성 (/performance/goals/new)</t>
        </is>
      </c>
      <c r="D5" s="11" t="inlineStr">
        <is>
          <t>EMPLOYEE (employee-a@ctr.co.kr)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목표 설정</t>
        </is>
      </c>
      <c r="C6" s="11" t="inlineStr">
        <is>
          <t>내 목표 조회 (/performance/my-goals)</t>
        </is>
      </c>
      <c r="D6" s="11" t="inlineStr">
        <is>
          <t>EMPLOYEE (employee-a@ctr.co.kr)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목표 설정</t>
        </is>
      </c>
      <c r="C7" s="11" t="inlineStr">
        <is>
          <t>팀 목표 조회 (/performance/team-goals)</t>
        </is>
      </c>
      <c r="D7" s="11" t="inlineStr">
        <is>
          <t>MANAGER (manager@ctr.co.kr)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평가 사이클</t>
        </is>
      </c>
      <c r="C8" s="11" t="inlineStr">
        <is>
          <t>평가 사이클 목록 (/performance/cycles)</t>
        </is>
      </c>
      <c r="D8" s="11" t="inlineStr">
        <is>
          <t>HR_ADMIN (hr@ctr.co.kr)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평가 사이클</t>
        </is>
      </c>
      <c r="C9" s="11" t="inlineStr">
        <is>
          <t>평가 사이클 상세 (/performance/cycles/[id])</t>
        </is>
      </c>
      <c r="D9" s="11" t="inlineStr">
        <is>
          <t>HR_ADMIN (hr@ctr.co.kr)</t>
        </is>
      </c>
      <c r="E9" s="11" t="inlineStr"/>
      <c r="F9" s="11" t="inlineStr"/>
      <c r="G9" s="11" t="inlineStr"/>
      <c r="H9" s="11" t="inlineStr"/>
      <c r="I9" s="11" t="inlineStr"/>
    </row>
    <row r="10">
      <c r="A10" s="10" t="n">
        <v>9</v>
      </c>
      <c r="B10" s="11" t="inlineStr">
        <is>
          <t>자기평가</t>
        </is>
      </c>
      <c r="C10" s="11" t="inlineStr">
        <is>
          <t>자기평가 작성 (/performance/self-eval)</t>
        </is>
      </c>
      <c r="D10" s="11" t="inlineStr">
        <is>
          <t>EMPLOYEE (employee-a@ctr.co.kr)</t>
        </is>
      </c>
      <c r="E10" s="11" t="inlineStr"/>
      <c r="F10" s="11" t="inlineStr"/>
      <c r="G10" s="11" t="inlineStr"/>
      <c r="H10" s="11" t="inlineStr"/>
      <c r="I10" s="11" t="inlineStr"/>
    </row>
    <row r="11">
      <c r="A11" s="10" t="n">
        <v>10</v>
      </c>
      <c r="B11" s="11" t="inlineStr">
        <is>
          <t>자기평가</t>
        </is>
      </c>
      <c r="C11" s="11" t="inlineStr">
        <is>
          <t>내 평가 확인 (/performance/my-evaluation)</t>
        </is>
      </c>
      <c r="D11" s="11" t="inlineStr">
        <is>
          <t>EMPLOYEE (employee-a@ctr.co.kr)</t>
        </is>
      </c>
      <c r="E11" s="11" t="inlineStr"/>
      <c r="F11" s="11" t="inlineStr"/>
      <c r="G11" s="11" t="inlineStr"/>
      <c r="H11" s="11" t="inlineStr"/>
      <c r="I11" s="11" t="inlineStr"/>
    </row>
    <row r="12">
      <c r="A12" s="10" t="n">
        <v>11</v>
      </c>
      <c r="B12" s="11" t="inlineStr">
        <is>
          <t>매니저 평가</t>
        </is>
      </c>
      <c r="C12" s="11" t="inlineStr">
        <is>
          <t>매니저 평가 작성 (/performance/manager-eval)</t>
        </is>
      </c>
      <c r="D12" s="11" t="inlineStr">
        <is>
          <t>MANAGER (manager@ctr.co.kr)</t>
        </is>
      </c>
      <c r="E12" s="11" t="inlineStr"/>
      <c r="F12" s="11" t="inlineStr"/>
      <c r="G12" s="11" t="inlineStr"/>
      <c r="H12" s="11" t="inlineStr"/>
      <c r="I12" s="11" t="inlineStr"/>
    </row>
    <row r="13">
      <c r="A13" s="10" t="n">
        <v>12</v>
      </c>
      <c r="B13" s="11" t="inlineStr">
        <is>
          <t>매니저 평가</t>
        </is>
      </c>
      <c r="C13" s="11" t="inlineStr">
        <is>
          <t>매니저 평가 (대체 경로) (/performance/manager-evaluation)</t>
        </is>
      </c>
      <c r="D13" s="11" t="inlineStr">
        <is>
          <t>MANAGER (manager@ctr.co.kr)</t>
        </is>
      </c>
      <c r="E13" s="11" t="inlineStr"/>
      <c r="F13" s="11" t="inlineStr"/>
      <c r="G13" s="11" t="inlineStr"/>
      <c r="H13" s="11" t="inlineStr"/>
      <c r="I13" s="11" t="inlineStr"/>
    </row>
    <row r="14">
      <c r="A14" s="10" t="n">
        <v>13</v>
      </c>
      <c r="B14" s="11" t="inlineStr">
        <is>
          <t>동료평가</t>
        </is>
      </c>
      <c r="C14" s="11" t="inlineStr">
        <is>
          <t>동료평가 관리 (/performance/peer-review)</t>
        </is>
      </c>
      <c r="D14" s="11" t="inlineStr">
        <is>
          <t>HR_ADMIN (hr@ctr.co.kr)</t>
        </is>
      </c>
      <c r="E14" s="11" t="inlineStr"/>
      <c r="F14" s="11" t="inlineStr"/>
      <c r="G14" s="11" t="inlineStr"/>
      <c r="H14" s="11" t="inlineStr"/>
      <c r="I14" s="11" t="inlineStr"/>
    </row>
    <row r="15">
      <c r="A15" s="10" t="n">
        <v>14</v>
      </c>
      <c r="B15" s="11" t="inlineStr">
        <is>
          <t>동료평가</t>
        </is>
      </c>
      <c r="C15" s="11" t="inlineStr">
        <is>
          <t>동료평가 설정 (/performance/peer-review/[cycleId]/setup)</t>
        </is>
      </c>
      <c r="D15" s="11" t="inlineStr">
        <is>
          <t>HR_ADMIN (hr@ctr.co.kr)</t>
        </is>
      </c>
      <c r="E15" s="11" t="inlineStr"/>
      <c r="F15" s="11" t="inlineStr"/>
      <c r="G15" s="11" t="inlineStr"/>
      <c r="H15" s="11" t="inlineStr"/>
      <c r="I15" s="11" t="inlineStr"/>
    </row>
    <row r="16">
      <c r="A16" s="10" t="n">
        <v>15</v>
      </c>
      <c r="B16" s="11" t="inlineStr">
        <is>
          <t>동료평가</t>
        </is>
      </c>
      <c r="C16" s="11" t="inlineStr">
        <is>
          <t>동료평가 실행 (/performance/peer-review/evaluate/[id])</t>
        </is>
      </c>
      <c r="D16" s="11" t="inlineStr">
        <is>
          <t>EMPLOYEE (employee-a@ctr.co.kr)</t>
        </is>
      </c>
      <c r="E16" s="11" t="inlineStr"/>
      <c r="F16" s="11" t="inlineStr"/>
      <c r="G16" s="11" t="inlineStr"/>
      <c r="H16" s="11" t="inlineStr"/>
      <c r="I16" s="11" t="inlineStr"/>
    </row>
    <row r="17">
      <c r="A17" s="10" t="n">
        <v>16</v>
      </c>
      <c r="B17" s="11" t="inlineStr">
        <is>
          <t>동료평가</t>
        </is>
      </c>
      <c r="C17" s="11" t="inlineStr">
        <is>
          <t>동료평가 결과 (/performance/peer-review/results/[id])</t>
        </is>
      </c>
      <c r="D17" s="11" t="inlineStr">
        <is>
          <t>HR_ADMIN (hr@ctr.co.kr)</t>
        </is>
      </c>
      <c r="E17" s="11" t="inlineStr"/>
      <c r="F17" s="11" t="inlineStr"/>
      <c r="G17" s="11" t="inlineStr"/>
      <c r="H17" s="11" t="inlineStr"/>
      <c r="I17" s="11" t="inlineStr"/>
    </row>
    <row r="18">
      <c r="A18" s="10" t="n">
        <v>17</v>
      </c>
      <c r="B18" s="11" t="inlineStr">
        <is>
          <t>동료평가</t>
        </is>
      </c>
      <c r="C18" s="11" t="inlineStr">
        <is>
          <t>내 동료평가 (/performance/my-peer-review)</t>
        </is>
      </c>
      <c r="D18" s="11" t="inlineStr">
        <is>
          <t>EMPLOYEE (employee-a@ctr.co.kr)</t>
        </is>
      </c>
      <c r="E18" s="11" t="inlineStr"/>
      <c r="F18" s="11" t="inlineStr"/>
      <c r="G18" s="11" t="inlineStr"/>
      <c r="H18" s="11" t="inlineStr"/>
      <c r="I18" s="11" t="inlineStr"/>
    </row>
    <row r="19">
      <c r="A19" s="10" t="n">
        <v>18</v>
      </c>
      <c r="B19" s="11" t="inlineStr">
        <is>
          <t>1:1 미팅</t>
        </is>
      </c>
      <c r="C19" s="11" t="inlineStr">
        <is>
          <t>1:1 미팅 목록 (/performance/one-on-one)</t>
        </is>
      </c>
      <c r="D19" s="11" t="inlineStr">
        <is>
          <t>MANAGER (manager@ctr.co.kr)</t>
        </is>
      </c>
      <c r="E19" s="11" t="inlineStr"/>
      <c r="F19" s="11" t="inlineStr"/>
      <c r="G19" s="11" t="inlineStr"/>
      <c r="H19" s="11" t="inlineStr"/>
      <c r="I19" s="11" t="inlineStr"/>
    </row>
    <row r="20">
      <c r="A20" s="10" t="n">
        <v>19</v>
      </c>
      <c r="B20" s="11" t="inlineStr">
        <is>
          <t>1:1 미팅</t>
        </is>
      </c>
      <c r="C20" s="11" t="inlineStr">
        <is>
          <t>1:1 미팅 상세 (/performance/one-on-one/[id])</t>
        </is>
      </c>
      <c r="D20" s="11" t="inlineStr">
        <is>
          <t>MANAGER (manager@ctr.co.kr)</t>
        </is>
      </c>
      <c r="E20" s="11" t="inlineStr"/>
      <c r="F20" s="11" t="inlineStr"/>
      <c r="G20" s="11" t="inlineStr"/>
      <c r="H20" s="11" t="inlineStr"/>
      <c r="I20" s="11" t="inlineStr"/>
    </row>
    <row r="21">
      <c r="A21" s="10" t="n">
        <v>20</v>
      </c>
      <c r="B21" s="11" t="inlineStr">
        <is>
          <t>1:1 미팅</t>
        </is>
      </c>
      <c r="C21" s="11" t="inlineStr">
        <is>
          <t>내 체크인 (/performance/my-checkins)</t>
        </is>
      </c>
      <c r="D21" s="11" t="inlineStr">
        <is>
          <t>EMPLOYEE (employee-a@ctr.co.kr)</t>
        </is>
      </c>
      <c r="E21" s="11" t="inlineStr"/>
      <c r="F21" s="11" t="inlineStr"/>
      <c r="G21" s="11" t="inlineStr"/>
      <c r="H21" s="11" t="inlineStr"/>
      <c r="I21" s="11" t="inlineStr"/>
    </row>
    <row r="22">
      <c r="A22" s="10" t="n">
        <v>21</v>
      </c>
      <c r="B22" s="11" t="inlineStr">
        <is>
          <t>펄스 설문</t>
        </is>
      </c>
      <c r="C22" s="11" t="inlineStr">
        <is>
          <t>펄스 설문 목록 (/performance/pulse)</t>
        </is>
      </c>
      <c r="D22" s="11" t="inlineStr">
        <is>
          <t>HR_ADMIN (hr@ctr.co.kr)</t>
        </is>
      </c>
      <c r="E22" s="11" t="inlineStr"/>
      <c r="F22" s="11" t="inlineStr"/>
      <c r="G22" s="11" t="inlineStr"/>
      <c r="H22" s="11" t="inlineStr"/>
      <c r="I22" s="11" t="inlineStr"/>
    </row>
    <row r="23">
      <c r="A23" s="10" t="n">
        <v>22</v>
      </c>
      <c r="B23" s="11" t="inlineStr">
        <is>
          <t>펄스 설문</t>
        </is>
      </c>
      <c r="C23" s="11" t="inlineStr">
        <is>
          <t>펄스 설문 응답 (/performance/pulse/[id]/respond)</t>
        </is>
      </c>
      <c r="D23" s="11" t="inlineStr">
        <is>
          <t>EMPLOYEE (employee-a@ctr.co.kr)</t>
        </is>
      </c>
      <c r="E23" s="11" t="inlineStr"/>
      <c r="F23" s="11" t="inlineStr"/>
      <c r="G23" s="11" t="inlineStr"/>
      <c r="H23" s="11" t="inlineStr"/>
      <c r="I23" s="11" t="inlineStr"/>
    </row>
    <row r="24">
      <c r="A24" s="10" t="n">
        <v>23</v>
      </c>
      <c r="B24" s="11" t="inlineStr">
        <is>
          <t>펄스 설문</t>
        </is>
      </c>
      <c r="C24" s="11" t="inlineStr">
        <is>
          <t>펄스 설문 결과 (/performance/pulse/[id]/results)</t>
        </is>
      </c>
      <c r="D24" s="11" t="inlineStr">
        <is>
          <t>HR_ADMIN (hr@ctr.co.kr)</t>
        </is>
      </c>
      <c r="E24" s="11" t="inlineStr"/>
      <c r="F24" s="11" t="inlineStr"/>
      <c r="G24" s="11" t="inlineStr"/>
      <c r="H24" s="11" t="inlineStr"/>
      <c r="I24" s="11" t="inlineStr"/>
    </row>
    <row r="25">
      <c r="A25" s="10" t="n">
        <v>24</v>
      </c>
      <c r="B25" s="11" t="inlineStr">
        <is>
          <t>분기 리뷰</t>
        </is>
      </c>
      <c r="C25" s="11" t="inlineStr">
        <is>
          <t>분기 리뷰 목록 (/performance/quarterly-reviews)</t>
        </is>
      </c>
      <c r="D25" s="11" t="inlineStr">
        <is>
          <t>HR_ADMIN (hr@ctr.co.kr)</t>
        </is>
      </c>
      <c r="E25" s="11" t="inlineStr"/>
      <c r="F25" s="11" t="inlineStr"/>
      <c r="G25" s="11" t="inlineStr"/>
      <c r="H25" s="11" t="inlineStr"/>
      <c r="I25" s="11" t="inlineStr"/>
    </row>
    <row r="26">
      <c r="A26" s="10" t="n">
        <v>25</v>
      </c>
      <c r="B26" s="11" t="inlineStr">
        <is>
          <t>분기 리뷰</t>
        </is>
      </c>
      <c r="C26" s="11" t="inlineStr">
        <is>
          <t>분기 리뷰 상세 (/performance/quarterly-reviews/[id])</t>
        </is>
      </c>
      <c r="D26" s="11" t="inlineStr">
        <is>
          <t>MANAGER (manager@ctr.co.kr)</t>
        </is>
      </c>
      <c r="E26" s="11" t="inlineStr"/>
      <c r="F26" s="11" t="inlineStr"/>
      <c r="G26" s="11" t="inlineStr"/>
      <c r="H26" s="11" t="inlineStr"/>
      <c r="I26" s="11" t="inlineStr"/>
    </row>
    <row r="27">
      <c r="A27" s="10" t="n">
        <v>26</v>
      </c>
      <c r="B27" s="11" t="inlineStr">
        <is>
          <t>분기 리뷰</t>
        </is>
      </c>
      <c r="C27" s="11" t="inlineStr">
        <is>
          <t>내 분기 리뷰 (/performance/my-quarterly-review)</t>
        </is>
      </c>
      <c r="D27" s="11" t="inlineStr">
        <is>
          <t>EMPLOYEE (employee-a@ctr.co.kr)</t>
        </is>
      </c>
      <c r="E27" s="11" t="inlineStr"/>
      <c r="F27" s="11" t="inlineStr"/>
      <c r="G27" s="11" t="inlineStr"/>
      <c r="H27" s="11" t="inlineStr"/>
      <c r="I27" s="11" t="inlineStr"/>
    </row>
    <row r="28">
      <c r="A28" s="10" t="n">
        <v>27</v>
      </c>
      <c r="B28" s="11" t="inlineStr">
        <is>
          <t>인정/칭찬</t>
        </is>
      </c>
      <c r="C28" s="11" t="inlineStr">
        <is>
          <t>인정 피드 (/performance/recognition)</t>
        </is>
      </c>
      <c r="D28" s="11" t="inlineStr">
        <is>
          <t>EMPLOYEE (employee-a@ctr.co.kr)</t>
        </is>
      </c>
      <c r="E28" s="11" t="inlineStr"/>
      <c r="F28" s="11" t="inlineStr"/>
      <c r="G28" s="11" t="inlineStr"/>
      <c r="H28" s="11" t="inlineStr"/>
      <c r="I28" s="11" t="inlineStr"/>
    </row>
    <row r="29">
      <c r="A29" s="10" t="n">
        <v>28</v>
      </c>
      <c r="B29" s="11" t="inlineStr">
        <is>
          <t>결과 조회</t>
        </is>
      </c>
      <c r="C29" s="11" t="inlineStr">
        <is>
          <t>전체 결과 (/performance/results)</t>
        </is>
      </c>
      <c r="D29" s="11" t="inlineStr">
        <is>
          <t>HR_ADMIN (hr@ctr.co.kr)</t>
        </is>
      </c>
      <c r="E29" s="11" t="inlineStr"/>
      <c r="F29" s="11" t="inlineStr"/>
      <c r="G29" s="11" t="inlineStr"/>
      <c r="H29" s="11" t="inlineStr"/>
      <c r="I29" s="11" t="inlineStr"/>
    </row>
    <row r="30">
      <c r="A30" s="10" t="n">
        <v>29</v>
      </c>
      <c r="B30" s="11" t="inlineStr">
        <is>
          <t>결과 조회</t>
        </is>
      </c>
      <c r="C30" s="11" t="inlineStr">
        <is>
          <t>내 결과 (/performance/my-result)</t>
        </is>
      </c>
      <c r="D30" s="11" t="inlineStr">
        <is>
          <t>EMPLOYEE (employee-a@ctr.co.kr)</t>
        </is>
      </c>
      <c r="E30" s="11" t="inlineStr"/>
      <c r="F30" s="11" t="inlineStr"/>
      <c r="G30" s="11" t="inlineStr"/>
      <c r="H30" s="11" t="inlineStr"/>
      <c r="I30" s="11" t="inlineStr"/>
    </row>
    <row r="31">
      <c r="A31" s="10" t="n">
        <v>30</v>
      </c>
      <c r="B31" s="11" t="inlineStr">
        <is>
          <t>결과 조회</t>
        </is>
      </c>
      <c r="C31" s="11" t="inlineStr">
        <is>
          <t>팀 결과 (/performance/team-results)</t>
        </is>
      </c>
      <c r="D31" s="11" t="inlineStr">
        <is>
          <t>MANAGER (manager@ctr.co.kr)</t>
        </is>
      </c>
      <c r="E31" s="11" t="inlineStr"/>
      <c r="F31" s="11" t="inlineStr"/>
      <c r="G31" s="11" t="inlineStr"/>
      <c r="H31" s="11" t="inlineStr"/>
      <c r="I31" s="11" t="inlineStr"/>
    </row>
    <row r="32">
      <c r="A32" s="10" t="n">
        <v>31</v>
      </c>
      <c r="B32" s="11" t="inlineStr">
        <is>
          <t>알림</t>
        </is>
      </c>
      <c r="C32" s="11" t="inlineStr">
        <is>
          <t>성과 알림 (/performance/notifications)</t>
        </is>
      </c>
      <c r="D32" s="11" t="inlineStr">
        <is>
          <t>EMPLOYEE (employee-a@ctr.co.kr)</t>
        </is>
      </c>
      <c r="E32" s="11" t="inlineStr"/>
      <c r="F32" s="11" t="inlineStr"/>
      <c r="G32" s="11" t="inlineStr"/>
      <c r="H32" s="11" t="inlineStr"/>
      <c r="I32" s="11" t="inlineStr"/>
    </row>
  </sheetData>
  <conditionalFormatting sqref="E2:E32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32" showDropDown="0" showInputMessage="0" showErrorMessage="0" allowBlank="1" type="list">
      <formula1>"Y,N,NA"</formula1>
    </dataValidation>
    <dataValidation sqref="F2:F32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0B981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채용</t>
        </is>
      </c>
      <c r="C2" s="11" t="inlineStr">
        <is>
          <t>채용 공고 목록 (/recruitment)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채용</t>
        </is>
      </c>
      <c r="C3" s="11" t="inlineStr">
        <is>
          <t>새 공고 작성 (/recruitment/new)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채용</t>
        </is>
      </c>
      <c r="C4" s="11" t="inlineStr">
        <is>
          <t>공고 상세 (/recruitment/[id])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채용</t>
        </is>
      </c>
      <c r="C5" s="11" t="inlineStr">
        <is>
          <t>공고 수정 (/recruitment/[id]/edit)</t>
        </is>
      </c>
      <c r="D5" s="11" t="inlineStr">
        <is>
          <t>HR_ADMIN (hr@ctr.co.kr)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지원자</t>
        </is>
      </c>
      <c r="C6" s="11" t="inlineStr">
        <is>
          <t>지원자 목록 (/recruitment/[id]/applicants)</t>
        </is>
      </c>
      <c r="D6" s="11" t="inlineStr">
        <is>
          <t>HR_ADMIN (hr@ctr.co.kr)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지원자</t>
        </is>
      </c>
      <c r="C7" s="11" t="inlineStr">
        <is>
          <t>새 지원자 등록 (/recruitment/[id]/applicants/new)</t>
        </is>
      </c>
      <c r="D7" s="11" t="inlineStr">
        <is>
          <t>HR_ADMIN (hr@ctr.co.kr)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면접</t>
        </is>
      </c>
      <c r="C8" s="11" t="inlineStr">
        <is>
          <t>면접 일정 목록 (/recruitment/[id]/interviews)</t>
        </is>
      </c>
      <c r="D8" s="11" t="inlineStr">
        <is>
          <t>HR_ADMIN (hr@ctr.co.kr)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면접</t>
        </is>
      </c>
      <c r="C9" s="11" t="inlineStr">
        <is>
          <t>새 면접 등록 (/recruitment/[id]/interviews/new)</t>
        </is>
      </c>
      <c r="D9" s="11" t="inlineStr">
        <is>
          <t>HR_ADMIN (hr@ctr.co.kr)</t>
        </is>
      </c>
      <c r="E9" s="11" t="inlineStr"/>
      <c r="F9" s="11" t="inlineStr"/>
      <c r="G9" s="11" t="inlineStr"/>
      <c r="H9" s="11" t="inlineStr"/>
      <c r="I9" s="11" t="inlineStr"/>
    </row>
    <row r="10">
      <c r="A10" s="10" t="n">
        <v>9</v>
      </c>
      <c r="B10" s="11" t="inlineStr">
        <is>
          <t>파이프라인</t>
        </is>
      </c>
      <c r="C10" s="11" t="inlineStr">
        <is>
          <t>파이프라인 칸반 (/recruitment/[id]/pipeline)</t>
        </is>
      </c>
      <c r="D10" s="11" t="inlineStr">
        <is>
          <t>HR_ADMIN (hr@ctr.co.kr)</t>
        </is>
      </c>
      <c r="E10" s="11" t="inlineStr"/>
      <c r="F10" s="11" t="inlineStr"/>
      <c r="G10" s="11" t="inlineStr"/>
      <c r="H10" s="11" t="inlineStr"/>
      <c r="I10" s="11" t="inlineStr"/>
    </row>
    <row r="11">
      <c r="A11" s="10" t="n">
        <v>10</v>
      </c>
      <c r="B11" s="11" t="inlineStr">
        <is>
          <t>보드 뷰</t>
        </is>
      </c>
      <c r="C11" s="11" t="inlineStr">
        <is>
          <t>전체 보드 뷰 (/recruitment/board)</t>
        </is>
      </c>
      <c r="D11" s="11" t="inlineStr">
        <is>
          <t>HR_ADMIN (hr@ctr.co.kr)</t>
        </is>
      </c>
      <c r="E11" s="11" t="inlineStr"/>
      <c r="F11" s="11" t="inlineStr"/>
      <c r="G11" s="11" t="inlineStr"/>
      <c r="H11" s="11" t="inlineStr"/>
      <c r="I11" s="11" t="inlineStr"/>
    </row>
    <row r="12">
      <c r="A12" s="10" t="n">
        <v>11</v>
      </c>
      <c r="B12" s="11" t="inlineStr">
        <is>
          <t>대시보드</t>
        </is>
      </c>
      <c r="C12" s="11" t="inlineStr">
        <is>
          <t>채용 대시보드 (/recruitment/dashboard)</t>
        </is>
      </c>
      <c r="D12" s="11" t="inlineStr">
        <is>
          <t>HR_ADMIN (hr@ctr.co.kr)</t>
        </is>
      </c>
      <c r="E12" s="11" t="inlineStr"/>
      <c r="F12" s="11" t="inlineStr"/>
      <c r="G12" s="11" t="inlineStr"/>
      <c r="H12" s="11" t="inlineStr"/>
      <c r="I12" s="11" t="inlineStr"/>
    </row>
    <row r="13">
      <c r="A13" s="10" t="n">
        <v>12</v>
      </c>
      <c r="B13" s="11" t="inlineStr">
        <is>
          <t>인재풀</t>
        </is>
      </c>
      <c r="C13" s="11" t="inlineStr">
        <is>
          <t>인재풀 관리 (/recruitment/talent-pool)</t>
        </is>
      </c>
      <c r="D13" s="11" t="inlineStr">
        <is>
          <t>HR_ADMIN (hr@ctr.co.kr)</t>
        </is>
      </c>
      <c r="E13" s="11" t="inlineStr"/>
      <c r="F13" s="11" t="inlineStr"/>
      <c r="G13" s="11" t="inlineStr"/>
      <c r="H13" s="11" t="inlineStr"/>
      <c r="I13" s="11" t="inlineStr"/>
    </row>
    <row r="14">
      <c r="A14" s="10" t="n">
        <v>13</v>
      </c>
      <c r="B14" s="11" t="inlineStr">
        <is>
          <t>비용 분석</t>
        </is>
      </c>
      <c r="C14" s="11" t="inlineStr">
        <is>
          <t>채용 비용 분석 (/recruitment/cost-analysis)</t>
        </is>
      </c>
      <c r="D14" s="11" t="inlineStr">
        <is>
          <t>HR_ADMIN (hr@ctr.co.kr)</t>
        </is>
      </c>
      <c r="E14" s="11" t="inlineStr"/>
      <c r="F14" s="11" t="inlineStr"/>
      <c r="G14" s="11" t="inlineStr"/>
      <c r="H14" s="11" t="inlineStr"/>
      <c r="I14" s="11" t="inlineStr"/>
    </row>
    <row r="15">
      <c r="A15" s="10" t="n">
        <v>14</v>
      </c>
      <c r="B15" s="11" t="inlineStr">
        <is>
          <t>채용요청서</t>
        </is>
      </c>
      <c r="C15" s="11" t="inlineStr">
        <is>
          <t>채용요청서 목록 (/recruitment/requisitions)</t>
        </is>
      </c>
      <c r="D15" s="11" t="inlineStr">
        <is>
          <t>HR_ADMIN (hr@ctr.co.kr)</t>
        </is>
      </c>
      <c r="E15" s="11" t="inlineStr"/>
      <c r="F15" s="11" t="inlineStr"/>
      <c r="G15" s="11" t="inlineStr"/>
      <c r="H15" s="11" t="inlineStr"/>
      <c r="I15" s="11" t="inlineStr"/>
    </row>
    <row r="16">
      <c r="A16" s="10" t="n">
        <v>15</v>
      </c>
      <c r="B16" s="11" t="inlineStr">
        <is>
          <t>채용요청서</t>
        </is>
      </c>
      <c r="C16" s="11" t="inlineStr">
        <is>
          <t>새 채용요청서 (/recruitment/requisitions/new)</t>
        </is>
      </c>
      <c r="D16" s="11" t="inlineStr">
        <is>
          <t>MANAGER (manager@ctr.co.kr)</t>
        </is>
      </c>
      <c r="E16" s="11" t="inlineStr"/>
      <c r="F16" s="11" t="inlineStr"/>
      <c r="G16" s="11" t="inlineStr"/>
      <c r="H16" s="11" t="inlineStr"/>
      <c r="I16" s="11" t="inlineStr"/>
    </row>
    <row r="17">
      <c r="A17" s="10" t="n">
        <v>16</v>
      </c>
      <c r="B17" s="11" t="inlineStr">
        <is>
          <t>내부공모</t>
        </is>
      </c>
      <c r="C17" s="11" t="inlineStr">
        <is>
          <t>내부 공모 확인 (/my/internal-jobs)</t>
        </is>
      </c>
      <c r="D17" s="11" t="inlineStr">
        <is>
          <t>EMPLOYEE (employee-a@ctr.co.kr)</t>
        </is>
      </c>
      <c r="E17" s="11" t="inlineStr"/>
      <c r="F17" s="11" t="inlineStr"/>
      <c r="G17" s="11" t="inlineStr"/>
      <c r="H17" s="11" t="inlineStr"/>
      <c r="I17" s="11" t="inlineStr"/>
    </row>
    <row r="18">
      <c r="A18" s="10" t="n">
        <v>17</v>
      </c>
      <c r="B18" s="11" t="inlineStr">
        <is>
          <t>ATS 전환</t>
        </is>
      </c>
      <c r="C18" s="11" t="inlineStr">
        <is>
          <t>ATS 합격자 → 직원 전환 프로세스</t>
        </is>
      </c>
      <c r="D18" s="11" t="inlineStr">
        <is>
          <t>HR_ADMIN (hr@ctr.co.kr)</t>
        </is>
      </c>
      <c r="E18" s="11" t="inlineStr"/>
      <c r="F18" s="11" t="inlineStr"/>
      <c r="G18" s="11" t="inlineStr"/>
      <c r="H18" s="11" t="inlineStr"/>
      <c r="I18" s="11" t="inlineStr"/>
    </row>
  </sheetData>
  <conditionalFormatting sqref="E2:E18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18" showDropDown="0" showInputMessage="0" showErrorMessage="0" allowBlank="1" type="list">
      <formula1>"Y,N,NA"</formula1>
    </dataValidation>
    <dataValidation sqref="F2:F18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0B981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보상 검토</t>
        </is>
      </c>
      <c r="C2" s="11" t="inlineStr">
        <is>
          <t>보상 대시보드 (/compensation)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비정기 조정</t>
        </is>
      </c>
      <c r="C3" s="11" t="inlineStr">
        <is>
          <t>비정기 조정 목록 (/compensation/off-cycle)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비정기 조정</t>
        </is>
      </c>
      <c r="C4" s="11" t="inlineStr">
        <is>
          <t>비정기 조정 상세 (/compensation/off-cycle/[id])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비정기 조정</t>
        </is>
      </c>
      <c r="C5" s="11" t="inlineStr">
        <is>
          <t>비정기 조정 생성 (/compensation/off-cycle/new)</t>
        </is>
      </c>
      <c r="D5" s="11" t="inlineStr">
        <is>
          <t>HR_ADMIN (hr@ctr.co.kr)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보상 레터</t>
        </is>
      </c>
      <c r="C6" s="11" t="inlineStr">
        <is>
          <t>보상 레터 생성 및 발송 확인</t>
        </is>
      </c>
      <c r="D6" s="11" t="inlineStr">
        <is>
          <t>HR_ADMIN (hr@ctr.co.kr)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보상 검토</t>
        </is>
      </c>
      <c r="C7" s="11" t="inlineStr">
        <is>
          <t>MANAGER 보상 검토 접근 가능 여부</t>
        </is>
      </c>
      <c r="D7" s="11" t="inlineStr">
        <is>
          <t>MANAGER (manager@ctr.co.kr)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보상 분석</t>
        </is>
      </c>
      <c r="C8" s="11" t="inlineStr">
        <is>
          <t>직급별 보상 분포 확인</t>
        </is>
      </c>
      <c r="D8" s="11" t="inlineStr">
        <is>
          <t>HR_ADMIN (hr@ctr.co.kr)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보상</t>
        </is>
      </c>
      <c r="C9" s="11" t="inlineStr">
        <is>
          <t>총보상 명세서 확인 (/my/total-rewards)</t>
        </is>
      </c>
      <c r="D9" s="11" t="inlineStr">
        <is>
          <t>EMPLOYEE (employee-a@ctr.co.kr)</t>
        </is>
      </c>
      <c r="E9" s="11" t="inlineStr"/>
      <c r="F9" s="11" t="inlineStr"/>
      <c r="G9" s="11" t="inlineStr"/>
      <c r="H9" s="11" t="inlineStr"/>
      <c r="I9" s="11" t="inlineStr"/>
    </row>
  </sheetData>
  <conditionalFormatting sqref="E2:E9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9" showDropDown="0" showInputMessage="0" showErrorMessage="0" allowBlank="1" type="list">
      <formula1>"Y,N,NA"</formula1>
    </dataValidation>
    <dataValidation sqref="F2:F9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0B981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분석</t>
        </is>
      </c>
      <c r="C2" s="11" t="inlineStr">
        <is>
          <t>경영진 요약 대시보드 (/analytics)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인력 분석</t>
        </is>
      </c>
      <c r="C3" s="11" t="inlineStr">
        <is>
          <t>인력 현황 분석 (/analytics/workforce)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급여 분석</t>
        </is>
      </c>
      <c r="C4" s="11" t="inlineStr">
        <is>
          <t>급여 통계 (/analytics/payroll)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성과 분석</t>
        </is>
      </c>
      <c r="C5" s="11" t="inlineStr">
        <is>
          <t>성과 분석 (/analytics/performance)</t>
        </is>
      </c>
      <c r="D5" s="11" t="inlineStr">
        <is>
          <t>HR_ADMIN (hr@ctr.co.kr)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출퇴근 분석</t>
        </is>
      </c>
      <c r="C6" s="11" t="inlineStr">
        <is>
          <t>근태 분석 (/analytics/attendance)</t>
        </is>
      </c>
      <c r="D6" s="11" t="inlineStr">
        <is>
          <t>HR_ADMIN (hr@ctr.co.kr)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이직 분석</t>
        </is>
      </c>
      <c r="C7" s="11" t="inlineStr">
        <is>
          <t>이직률 분석 (/analytics/turnover)</t>
        </is>
      </c>
      <c r="D7" s="11" t="inlineStr">
        <is>
          <t>HR_ADMIN (hr@ctr.co.kr)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팀 건강도</t>
        </is>
      </c>
      <c r="C8" s="11" t="inlineStr">
        <is>
          <t>팀 건강도 지표 (/analytics/team-health)</t>
        </is>
      </c>
      <c r="D8" s="11" t="inlineStr">
        <is>
          <t>HR_ADMIN (hr@ctr.co.kr)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AI 리포트</t>
        </is>
      </c>
      <c r="C9" s="11" t="inlineStr">
        <is>
          <t>AI 기반 분석 리포트 (/analytics/ai-report)</t>
        </is>
      </c>
      <c r="D9" s="11" t="inlineStr">
        <is>
          <t>HR_ADMIN (hr@ctr.co.kr)</t>
        </is>
      </c>
      <c r="E9" s="11" t="inlineStr"/>
      <c r="F9" s="11" t="inlineStr"/>
      <c r="G9" s="11" t="inlineStr"/>
      <c r="H9" s="11" t="inlineStr"/>
      <c r="I9" s="11" t="inlineStr"/>
    </row>
    <row r="10">
      <c r="A10" s="10" t="n">
        <v>9</v>
      </c>
      <c r="B10" s="11" t="inlineStr">
        <is>
          <t>채용 분석</t>
        </is>
      </c>
      <c r="C10" s="11" t="inlineStr">
        <is>
          <t>채용 파이프라인 분석 (/analytics/recruitment)</t>
        </is>
      </c>
      <c r="D10" s="11" t="inlineStr">
        <is>
          <t>HR_ADMIN (hr@ctr.co.kr)</t>
        </is>
      </c>
      <c r="E10" s="11" t="inlineStr"/>
      <c r="F10" s="11" t="inlineStr"/>
      <c r="G10" s="11" t="inlineStr"/>
      <c r="H10" s="11" t="inlineStr"/>
      <c r="I10" s="11" t="inlineStr"/>
    </row>
    <row r="11">
      <c r="A11" s="10" t="n">
        <v>10</v>
      </c>
      <c r="B11" s="11" t="inlineStr">
        <is>
          <t>보상 분석</t>
        </is>
      </c>
      <c r="C11" s="11" t="inlineStr">
        <is>
          <t>보상 분석 (/analytics/compensation)</t>
        </is>
      </c>
      <c r="D11" s="11" t="inlineStr">
        <is>
          <t>HR_ADMIN (hr@ctr.co.kr)</t>
        </is>
      </c>
      <c r="E11" s="11" t="inlineStr"/>
      <c r="F11" s="11" t="inlineStr"/>
      <c r="G11" s="11" t="inlineStr"/>
      <c r="H11" s="11" t="inlineStr"/>
      <c r="I11" s="11" t="inlineStr"/>
    </row>
    <row r="12">
      <c r="A12" s="10" t="n">
        <v>11</v>
      </c>
      <c r="B12" s="11" t="inlineStr">
        <is>
          <t>성별 임금격차</t>
        </is>
      </c>
      <c r="C12" s="11" t="inlineStr">
        <is>
          <t>성별 임금 격차 분석 (/analytics/gender-pay-gap)</t>
        </is>
      </c>
      <c r="D12" s="11" t="inlineStr">
        <is>
          <t>HR_ADMIN (hr@ctr.co.kr)</t>
        </is>
      </c>
      <c r="E12" s="11" t="inlineStr"/>
      <c r="F12" s="11" t="inlineStr"/>
      <c r="G12" s="11" t="inlineStr"/>
      <c r="H12" s="11" t="inlineStr"/>
      <c r="I12" s="11" t="inlineStr"/>
    </row>
    <row r="13">
      <c r="A13" s="10" t="n">
        <v>12</v>
      </c>
      <c r="B13" s="11" t="inlineStr">
        <is>
          <t>이탈 분석</t>
        </is>
      </c>
      <c r="C13" s="11" t="inlineStr">
        <is>
          <t>이탈 분석 (/analytics/attrition)</t>
        </is>
      </c>
      <c r="D13" s="11" t="inlineStr">
        <is>
          <t>HR_ADMIN (hr@ctr.co.kr)</t>
        </is>
      </c>
      <c r="E13" s="11" t="inlineStr"/>
      <c r="F13" s="11" t="inlineStr"/>
      <c r="G13" s="11" t="inlineStr"/>
      <c r="H13" s="11" t="inlineStr"/>
      <c r="I13" s="11" t="inlineStr"/>
    </row>
    <row r="14">
      <c r="A14" s="10" t="n">
        <v>13</v>
      </c>
      <c r="B14" s="11" t="inlineStr">
        <is>
          <t>예측 모델</t>
        </is>
      </c>
      <c r="C14" s="11" t="inlineStr">
        <is>
          <t>예측 분석 (/analytics/predictive)</t>
        </is>
      </c>
      <c r="D14" s="11" t="inlineStr">
        <is>
          <t>HR_ADMIN (hr@ctr.co.kr)</t>
        </is>
      </c>
      <c r="E14" s="11" t="inlineStr"/>
      <c r="F14" s="11" t="inlineStr"/>
      <c r="G14" s="11" t="inlineStr"/>
      <c r="H14" s="11" t="inlineStr"/>
      <c r="I14" s="11" t="inlineStr"/>
    </row>
    <row r="15">
      <c r="A15" s="10" t="n">
        <v>14</v>
      </c>
      <c r="B15" s="11" t="inlineStr">
        <is>
          <t>예측 모델</t>
        </is>
      </c>
      <c r="C15" s="11" t="inlineStr">
        <is>
          <t>직원별 예측 (/analytics/predictive/[employeeId])</t>
        </is>
      </c>
      <c r="D15" s="11" t="inlineStr">
        <is>
          <t>HR_ADMIN (hr@ctr.co.kr)</t>
        </is>
      </c>
      <c r="E15" s="11" t="inlineStr"/>
      <c r="F15" s="11" t="inlineStr"/>
      <c r="G15" s="11" t="inlineStr"/>
      <c r="H15" s="11" t="inlineStr"/>
      <c r="I15" s="11" t="inlineStr"/>
    </row>
    <row r="16">
      <c r="A16" s="10" t="n">
        <v>15</v>
      </c>
      <c r="B16" s="11" t="inlineStr">
        <is>
          <t>리포트</t>
        </is>
      </c>
      <c r="C16" s="11" t="inlineStr">
        <is>
          <t>커스텀 리포트 (/analytics/report)</t>
        </is>
      </c>
      <c r="D16" s="11" t="inlineStr">
        <is>
          <t>HR_ADMIN (hr@ctr.co.kr)</t>
        </is>
      </c>
      <c r="E16" s="11" t="inlineStr"/>
      <c r="F16" s="11" t="inlineStr"/>
      <c r="G16" s="11" t="inlineStr"/>
      <c r="H16" s="11" t="inlineStr"/>
      <c r="I16" s="11" t="inlineStr"/>
    </row>
    <row r="17">
      <c r="A17" s="10" t="n">
        <v>16</v>
      </c>
      <c r="B17" s="11" t="inlineStr">
        <is>
          <t>대시보드</t>
        </is>
      </c>
      <c r="C17" s="11" t="inlineStr">
        <is>
          <t>대시보드 비교 (/dashboard/compare)</t>
        </is>
      </c>
      <c r="D17" s="11" t="inlineStr">
        <is>
          <t>HR_ADMIN (hr@ctr.co.kr)</t>
        </is>
      </c>
      <c r="E17" s="11" t="inlineStr"/>
      <c r="F17" s="11" t="inlineStr"/>
      <c r="G17" s="11" t="inlineStr"/>
      <c r="H17" s="11" t="inlineStr"/>
      <c r="I17" s="11" t="inlineStr"/>
    </row>
  </sheetData>
  <conditionalFormatting sqref="E2:E17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17" showDropDown="0" showInputMessage="0" showErrorMessage="0" allowBlank="1" type="list">
      <formula1>"Y,N,NA"</formula1>
    </dataValidation>
    <dataValidation sqref="F2:F17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0B981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온보딩</t>
        </is>
      </c>
      <c r="C2" s="11" t="inlineStr">
        <is>
          <t>온보딩 관리 목록 (/onboarding)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온보딩</t>
        </is>
      </c>
      <c r="C3" s="11" t="inlineStr">
        <is>
          <t>온보딩 상세 (/onboarding/[id])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온보딩</t>
        </is>
      </c>
      <c r="C4" s="11" t="inlineStr">
        <is>
          <t>온보딩 체크인 관리 (/onboarding/checkins)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온보딩</t>
        </is>
      </c>
      <c r="C5" s="11" t="inlineStr">
        <is>
          <t>온보딩 체크인 실행 (/onboarding/checkin)</t>
        </is>
      </c>
      <c r="D5" s="11" t="inlineStr">
        <is>
          <t>MANAGER (manager@ctr.co.kr)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온보딩</t>
        </is>
      </c>
      <c r="C6" s="11" t="inlineStr">
        <is>
          <t>내 온보딩 (/onboarding/me)</t>
        </is>
      </c>
      <c r="D6" s="11" t="inlineStr">
        <is>
          <t>EMPLOYEE (employee-a@ctr.co.kr)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오프보딩</t>
        </is>
      </c>
      <c r="C7" s="11" t="inlineStr">
        <is>
          <t>오프보딩 관리 목록 (/offboarding)</t>
        </is>
      </c>
      <c r="D7" s="11" t="inlineStr">
        <is>
          <t>HR_ADMIN (hr@ctr.co.kr)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오프보딩</t>
        </is>
      </c>
      <c r="C8" s="11" t="inlineStr">
        <is>
          <t>오프보딩 상세 (/offboarding/[id])</t>
        </is>
      </c>
      <c r="D8" s="11" t="inlineStr">
        <is>
          <t>HR_ADMIN (hr@ctr.co.kr)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오프보딩</t>
        </is>
      </c>
      <c r="C9" s="11" t="inlineStr">
        <is>
          <t>퇴직 면담 (/offboarding/exit-interviews)</t>
        </is>
      </c>
      <c r="D9" s="11" t="inlineStr">
        <is>
          <t>HR_ADMIN (hr@ctr.co.kr)</t>
        </is>
      </c>
      <c r="E9" s="11" t="inlineStr"/>
      <c r="F9" s="11" t="inlineStr"/>
      <c r="G9" s="11" t="inlineStr"/>
      <c r="H9" s="11" t="inlineStr"/>
      <c r="I9" s="11" t="inlineStr"/>
    </row>
    <row r="10">
      <c r="A10" s="10" t="n">
        <v>9</v>
      </c>
      <c r="B10" s="11" t="inlineStr">
        <is>
          <t>오프보딩</t>
        </is>
      </c>
      <c r="C10" s="11" t="inlineStr">
        <is>
          <t>내 오프보딩 (/my/offboarding)</t>
        </is>
      </c>
      <c r="D10" s="11" t="inlineStr">
        <is>
          <t>EMPLOYEE (employee-a@ctr.co.kr)</t>
        </is>
      </c>
      <c r="E10" s="11" t="inlineStr"/>
      <c r="F10" s="11" t="inlineStr"/>
      <c r="G10" s="11" t="inlineStr"/>
      <c r="H10" s="11" t="inlineStr"/>
      <c r="I10" s="11" t="inlineStr"/>
    </row>
  </sheetData>
  <conditionalFormatting sqref="E2:E10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10" showDropDown="0" showInputMessage="0" showErrorMessage="0" allowBlank="1" type="list">
      <formula1>"Y,N,NA"</formula1>
    </dataValidation>
    <dataValidation sqref="F2:F10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0B981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컴플라이언스</t>
        </is>
      </c>
      <c r="C2" s="11" t="inlineStr">
        <is>
          <t>컴플라이언스 허브 (/compliance)</t>
        </is>
      </c>
      <c r="D2" s="11" t="inlineStr">
        <is>
          <t>HR_ADMIN (hr@ctr.co.kr)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GDPR</t>
        </is>
      </c>
      <c r="C3" s="11" t="inlineStr">
        <is>
          <t>GDPR 관리 (/compliance/gdpr)</t>
        </is>
      </c>
      <c r="D3" s="11" t="inlineStr">
        <is>
          <t>HR_ADMIN (hr@ctr.co.kr)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DPIA</t>
        </is>
      </c>
      <c r="C4" s="11" t="inlineStr">
        <is>
          <t>DPIA 평가 (/compliance/dpia)</t>
        </is>
      </c>
      <c r="D4" s="11" t="inlineStr">
        <is>
          <t>HR_ADMIN (hr@ctr.co.kr)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데이터 보존</t>
        </is>
      </c>
      <c r="C5" s="11" t="inlineStr">
        <is>
          <t>데이터 보존 정책 (/compliance/data-retention)</t>
        </is>
      </c>
      <c r="D5" s="11" t="inlineStr">
        <is>
          <t>HR_ADMIN (hr@ctr.co.kr)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PII 감사</t>
        </is>
      </c>
      <c r="C6" s="11" t="inlineStr">
        <is>
          <t>PII 감사 로그 (/compliance/pii-audit)</t>
        </is>
      </c>
      <c r="D6" s="11" t="inlineStr">
        <is>
          <t>HR_ADMIN (hr@ctr.co.kr)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한국 규정</t>
        </is>
      </c>
      <c r="C7" s="11" t="inlineStr">
        <is>
          <t>한국 노동법 준수 (/compliance/kr)</t>
        </is>
      </c>
      <c r="D7" s="11" t="inlineStr">
        <is>
          <t>HR_ADMIN (hr@ctr.co.kr)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중국 규정</t>
        </is>
      </c>
      <c r="C8" s="11" t="inlineStr">
        <is>
          <t>중국 노동법 준수 (/compliance/cn)</t>
        </is>
      </c>
      <c r="D8" s="11" t="inlineStr">
        <is>
          <t>HR_ADMIN (hr@ctr-cn.com)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러시아 규정</t>
        </is>
      </c>
      <c r="C9" s="11" t="inlineStr">
        <is>
          <t>러시아 노동법 준수 (/compliance/ru)</t>
        </is>
      </c>
      <c r="D9" s="11" t="inlineStr">
        <is>
          <t>HR_ADMIN (hr@ctr.co.kr)</t>
        </is>
      </c>
      <c r="E9" s="11" t="inlineStr"/>
      <c r="F9" s="11" t="inlineStr"/>
      <c r="G9" s="11" t="inlineStr"/>
      <c r="H9" s="11" t="inlineStr"/>
      <c r="I9" s="11" t="inlineStr"/>
    </row>
  </sheetData>
  <conditionalFormatting sqref="E2:E9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9" showDropDown="0" showInputMessage="0" showErrorMessage="0" allowBlank="1" type="list">
      <formula1>"Y,N,NA"</formula1>
    </dataValidation>
    <dataValidation sqref="F2:F9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0B981"/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8" customWidth="1" min="5" max="5"/>
    <col width="12" customWidth="1" min="6" max="6"/>
    <col width="12" customWidth="1" min="7" max="7"/>
    <col width="12" customWidth="1" min="8" max="8"/>
    <col width="25" customWidth="1" min="9" max="9"/>
  </cols>
  <sheetData>
    <row r="1">
      <c r="A1" s="9" t="inlineStr">
        <is>
          <t>#</t>
        </is>
      </c>
      <c r="B1" s="9" t="inlineStr">
        <is>
          <t>기능</t>
        </is>
      </c>
      <c r="C1" s="9" t="inlineStr">
        <is>
          <t>세부기능</t>
        </is>
      </c>
      <c r="D1" s="9" t="inlineStr">
        <is>
          <t>테스트 계정</t>
        </is>
      </c>
      <c r="E1" s="9" t="inlineStr">
        <is>
          <t>확인</t>
        </is>
      </c>
      <c r="F1" s="9" t="inlineStr">
        <is>
          <t>심각도</t>
        </is>
      </c>
      <c r="G1" s="9" t="inlineStr">
        <is>
          <t>테스터</t>
        </is>
      </c>
      <c r="H1" s="9" t="inlineStr">
        <is>
          <t>날짜</t>
        </is>
      </c>
      <c r="I1" s="9" t="inlineStr">
        <is>
          <t>비고</t>
        </is>
      </c>
    </row>
    <row r="2">
      <c r="A2" s="10" t="n">
        <v>1</v>
      </c>
      <c r="B2" s="11" t="inlineStr">
        <is>
          <t>My Space</t>
        </is>
      </c>
      <c r="C2" s="11" t="inlineStr">
        <is>
          <t>내 할일 (/my/tasks)</t>
        </is>
      </c>
      <c r="D2" s="11" t="inlineStr">
        <is>
          <t>EMPLOYEE (employee-a@ctr.co.kr)</t>
        </is>
      </c>
      <c r="E2" s="11" t="inlineStr"/>
      <c r="F2" s="11" t="inlineStr"/>
      <c r="G2" s="11" t="inlineStr"/>
      <c r="H2" s="11" t="inlineStr"/>
      <c r="I2" s="11" t="inlineStr"/>
    </row>
    <row r="3">
      <c r="A3" s="10" t="n">
        <v>2</v>
      </c>
      <c r="B3" s="11" t="inlineStr">
        <is>
          <t>My Space</t>
        </is>
      </c>
      <c r="C3" s="11" t="inlineStr">
        <is>
          <t>내 출퇴근 (/attendance — EMPLOYEE 뷰)</t>
        </is>
      </c>
      <c r="D3" s="11" t="inlineStr">
        <is>
          <t>EMPLOYEE (employee-a@ctr.co.kr)</t>
        </is>
      </c>
      <c r="E3" s="11" t="inlineStr"/>
      <c r="F3" s="11" t="inlineStr"/>
      <c r="G3" s="11" t="inlineStr"/>
      <c r="H3" s="11" t="inlineStr"/>
      <c r="I3" s="11" t="inlineStr"/>
    </row>
    <row r="4">
      <c r="A4" s="10" t="n">
        <v>3</v>
      </c>
      <c r="B4" s="11" t="inlineStr">
        <is>
          <t>My Space</t>
        </is>
      </c>
      <c r="C4" s="11" t="inlineStr">
        <is>
          <t>내 휴가 (/my/leave)</t>
        </is>
      </c>
      <c r="D4" s="11" t="inlineStr">
        <is>
          <t>EMPLOYEE (employee-a@ctr.co.kr)</t>
        </is>
      </c>
      <c r="E4" s="11" t="inlineStr"/>
      <c r="F4" s="11" t="inlineStr"/>
      <c r="G4" s="11" t="inlineStr"/>
      <c r="H4" s="11" t="inlineStr"/>
      <c r="I4" s="11" t="inlineStr"/>
    </row>
    <row r="5">
      <c r="A5" s="10" t="n">
        <v>4</v>
      </c>
      <c r="B5" s="11" t="inlineStr">
        <is>
          <t>My Space</t>
        </is>
      </c>
      <c r="C5" s="11" t="inlineStr">
        <is>
          <t>내 휴직 (/leave-of-absence — EMPLOYEE 뷰)</t>
        </is>
      </c>
      <c r="D5" s="11" t="inlineStr">
        <is>
          <t>EMPLOYEE (employee-a@ctr.co.kr)</t>
        </is>
      </c>
      <c r="E5" s="11" t="inlineStr"/>
      <c r="F5" s="11" t="inlineStr"/>
      <c r="G5" s="11" t="inlineStr"/>
      <c r="H5" s="11" t="inlineStr"/>
      <c r="I5" s="11" t="inlineStr"/>
    </row>
    <row r="6">
      <c r="A6" s="10" t="n">
        <v>5</v>
      </c>
      <c r="B6" s="11" t="inlineStr">
        <is>
          <t>My Space</t>
        </is>
      </c>
      <c r="C6" s="11" t="inlineStr">
        <is>
          <t>내 급여명세서 (/payroll/me)</t>
        </is>
      </c>
      <c r="D6" s="11" t="inlineStr">
        <is>
          <t>EMPLOYEE (employee-a@ctr.co.kr)</t>
        </is>
      </c>
      <c r="E6" s="11" t="inlineStr"/>
      <c r="F6" s="11" t="inlineStr"/>
      <c r="G6" s="11" t="inlineStr"/>
      <c r="H6" s="11" t="inlineStr"/>
      <c r="I6" s="11" t="inlineStr"/>
    </row>
    <row r="7">
      <c r="A7" s="10" t="n">
        <v>6</v>
      </c>
      <c r="B7" s="11" t="inlineStr">
        <is>
          <t>My Space</t>
        </is>
      </c>
      <c r="C7" s="11" t="inlineStr">
        <is>
          <t>내 급여명세서 상세 (/payroll/me/[runId])</t>
        </is>
      </c>
      <c r="D7" s="11" t="inlineStr">
        <is>
          <t>EMPLOYEE (employee-a@ctr.co.kr)</t>
        </is>
      </c>
      <c r="E7" s="11" t="inlineStr"/>
      <c r="F7" s="11" t="inlineStr"/>
      <c r="G7" s="11" t="inlineStr"/>
      <c r="H7" s="11" t="inlineStr"/>
      <c r="I7" s="11" t="inlineStr"/>
    </row>
    <row r="8">
      <c r="A8" s="10" t="n">
        <v>7</v>
      </c>
      <c r="B8" s="11" t="inlineStr">
        <is>
          <t>My Space</t>
        </is>
      </c>
      <c r="C8" s="11" t="inlineStr">
        <is>
          <t>내 복리후생 (/my/benefits)</t>
        </is>
      </c>
      <c r="D8" s="11" t="inlineStr">
        <is>
          <t>EMPLOYEE (employee-a@ctr.co.kr)</t>
        </is>
      </c>
      <c r="E8" s="11" t="inlineStr"/>
      <c r="F8" s="11" t="inlineStr"/>
      <c r="G8" s="11" t="inlineStr"/>
      <c r="H8" s="11" t="inlineStr"/>
      <c r="I8" s="11" t="inlineStr"/>
    </row>
    <row r="9">
      <c r="A9" s="10" t="n">
        <v>8</v>
      </c>
      <c r="B9" s="11" t="inlineStr">
        <is>
          <t>My Space</t>
        </is>
      </c>
      <c r="C9" s="11" t="inlineStr">
        <is>
          <t>내 연말정산 (/my/year-end)</t>
        </is>
      </c>
      <c r="D9" s="11" t="inlineStr">
        <is>
          <t>EMPLOYEE (employee-a@ctr.co.kr)</t>
        </is>
      </c>
      <c r="E9" s="11" t="inlineStr"/>
      <c r="F9" s="11" t="inlineStr"/>
      <c r="G9" s="11" t="inlineStr"/>
      <c r="H9" s="11" t="inlineStr"/>
      <c r="I9" s="11" t="inlineStr"/>
    </row>
    <row r="10">
      <c r="A10" s="10" t="n">
        <v>9</v>
      </c>
      <c r="B10" s="11" t="inlineStr">
        <is>
          <t>My Space</t>
        </is>
      </c>
      <c r="C10" s="11" t="inlineStr">
        <is>
          <t>내 목표 (/performance/my-goals)</t>
        </is>
      </c>
      <c r="D10" s="11" t="inlineStr">
        <is>
          <t>EMPLOYEE (employee-a@ctr.co.kr)</t>
        </is>
      </c>
      <c r="E10" s="11" t="inlineStr"/>
      <c r="F10" s="11" t="inlineStr"/>
      <c r="G10" s="11" t="inlineStr"/>
      <c r="H10" s="11" t="inlineStr"/>
      <c r="I10" s="11" t="inlineStr"/>
    </row>
    <row r="11">
      <c r="A11" s="10" t="n">
        <v>10</v>
      </c>
      <c r="B11" s="11" t="inlineStr">
        <is>
          <t>My Space</t>
        </is>
      </c>
      <c r="C11" s="11" t="inlineStr">
        <is>
          <t>내 분기리뷰 (/performance/my-quarterly-review)</t>
        </is>
      </c>
      <c r="D11" s="11" t="inlineStr">
        <is>
          <t>EMPLOYEE (employee-a@ctr.co.kr)</t>
        </is>
      </c>
      <c r="E11" s="11" t="inlineStr"/>
      <c r="F11" s="11" t="inlineStr"/>
      <c r="G11" s="11" t="inlineStr"/>
      <c r="H11" s="11" t="inlineStr"/>
      <c r="I11" s="11" t="inlineStr"/>
    </row>
    <row r="12">
      <c r="A12" s="10" t="n">
        <v>11</v>
      </c>
      <c r="B12" s="11" t="inlineStr">
        <is>
          <t>My Space</t>
        </is>
      </c>
      <c r="C12" s="11" t="inlineStr">
        <is>
          <t>내 스킬 (/my/skills)</t>
        </is>
      </c>
      <c r="D12" s="11" t="inlineStr">
        <is>
          <t>EMPLOYEE (employee-a@ctr.co.kr)</t>
        </is>
      </c>
      <c r="E12" s="11" t="inlineStr"/>
      <c r="F12" s="11" t="inlineStr"/>
      <c r="G12" s="11" t="inlineStr"/>
      <c r="H12" s="11" t="inlineStr"/>
      <c r="I12" s="11" t="inlineStr"/>
    </row>
    <row r="13">
      <c r="A13" s="10" t="n">
        <v>12</v>
      </c>
      <c r="B13" s="11" t="inlineStr">
        <is>
          <t>My Space</t>
        </is>
      </c>
      <c r="C13" s="11" t="inlineStr">
        <is>
          <t>내 교육 (/my/training)</t>
        </is>
      </c>
      <c r="D13" s="11" t="inlineStr">
        <is>
          <t>EMPLOYEE (employee-a@ctr.co.kr)</t>
        </is>
      </c>
      <c r="E13" s="11" t="inlineStr"/>
      <c r="F13" s="11" t="inlineStr"/>
      <c r="G13" s="11" t="inlineStr"/>
      <c r="H13" s="11" t="inlineStr"/>
      <c r="I13" s="11" t="inlineStr"/>
    </row>
    <row r="14">
      <c r="A14" s="10" t="n">
        <v>13</v>
      </c>
      <c r="B14" s="11" t="inlineStr">
        <is>
          <t>My Space</t>
        </is>
      </c>
      <c r="C14" s="11" t="inlineStr">
        <is>
          <t>내 인정/칭찬 (/performance/recognition — EMPLOYEE 뷰)</t>
        </is>
      </c>
      <c r="D14" s="11" t="inlineStr">
        <is>
          <t>EMPLOYEE (employee-a@ctr.co.kr)</t>
        </is>
      </c>
      <c r="E14" s="11" t="inlineStr"/>
      <c r="F14" s="11" t="inlineStr"/>
      <c r="G14" s="11" t="inlineStr"/>
      <c r="H14" s="11" t="inlineStr"/>
      <c r="I14" s="11" t="inlineStr"/>
    </row>
    <row r="15">
      <c r="A15" s="10" t="n">
        <v>14</v>
      </c>
      <c r="B15" s="11" t="inlineStr">
        <is>
          <t>My Space</t>
        </is>
      </c>
      <c r="C15" s="11" t="inlineStr">
        <is>
          <t>내 문서 (/my/documents)</t>
        </is>
      </c>
      <c r="D15" s="11" t="inlineStr">
        <is>
          <t>EMPLOYEE (employee-a@ctr.co.kr)</t>
        </is>
      </c>
      <c r="E15" s="11" t="inlineStr"/>
      <c r="F15" s="11" t="inlineStr"/>
      <c r="G15" s="11" t="inlineStr"/>
      <c r="H15" s="11" t="inlineStr"/>
      <c r="I15" s="11" t="inlineStr"/>
    </row>
    <row r="16">
      <c r="A16" s="10" t="n">
        <v>15</v>
      </c>
      <c r="B16" s="11" t="inlineStr">
        <is>
          <t>My Space</t>
        </is>
      </c>
      <c r="C16" s="11" t="inlineStr">
        <is>
          <t>내 프로필 (/my/profile)</t>
        </is>
      </c>
      <c r="D16" s="11" t="inlineStr">
        <is>
          <t>EMPLOYEE (employee-a@ctr.co.kr)</t>
        </is>
      </c>
      <c r="E16" s="11" t="inlineStr"/>
      <c r="F16" s="11" t="inlineStr"/>
      <c r="G16" s="11" t="inlineStr"/>
      <c r="H16" s="11" t="inlineStr"/>
      <c r="I16" s="11" t="inlineStr"/>
    </row>
    <row r="17">
      <c r="A17" s="10" t="n">
        <v>16</v>
      </c>
      <c r="B17" s="11" t="inlineStr">
        <is>
          <t>My Space</t>
        </is>
      </c>
      <c r="C17" s="11" t="inlineStr">
        <is>
          <t>내 알림설정 (/my/settings/notifications)</t>
        </is>
      </c>
      <c r="D17" s="11" t="inlineStr">
        <is>
          <t>EMPLOYEE (employee-a@ctr.co.kr)</t>
        </is>
      </c>
      <c r="E17" s="11" t="inlineStr"/>
      <c r="F17" s="11" t="inlineStr"/>
      <c r="G17" s="11" t="inlineStr"/>
      <c r="H17" s="11" t="inlineStr"/>
      <c r="I17" s="11" t="inlineStr"/>
    </row>
    <row r="18">
      <c r="A18" s="10" t="n">
        <v>17</v>
      </c>
      <c r="B18" s="11" t="inlineStr">
        <is>
          <t>My Space</t>
        </is>
      </c>
      <c r="C18" s="11" t="inlineStr">
        <is>
          <t>내 총보상 (/my/total-rewards)</t>
        </is>
      </c>
      <c r="D18" s="11" t="inlineStr">
        <is>
          <t>EMPLOYEE (employee-a@ctr.co.kr)</t>
        </is>
      </c>
      <c r="E18" s="11" t="inlineStr"/>
      <c r="F18" s="11" t="inlineStr"/>
      <c r="G18" s="11" t="inlineStr"/>
      <c r="H18" s="11" t="inlineStr"/>
      <c r="I18" s="11" t="inlineStr"/>
    </row>
    <row r="19">
      <c r="A19" s="10" t="n">
        <v>18</v>
      </c>
      <c r="B19" s="11" t="inlineStr">
        <is>
          <t>My Space</t>
        </is>
      </c>
      <c r="C19" s="11" t="inlineStr">
        <is>
          <t>내 온보딩 (/onboarding/me)</t>
        </is>
      </c>
      <c r="D19" s="11" t="inlineStr">
        <is>
          <t>EMPLOYEE (employee-a@ctr.co.kr)</t>
        </is>
      </c>
      <c r="E19" s="11" t="inlineStr"/>
      <c r="F19" s="11" t="inlineStr"/>
      <c r="G19" s="11" t="inlineStr"/>
      <c r="H19" s="11" t="inlineStr"/>
      <c r="I19" s="11" t="inlineStr"/>
    </row>
    <row r="20">
      <c r="A20" s="10" t="n">
        <v>19</v>
      </c>
      <c r="B20" s="11" t="inlineStr">
        <is>
          <t>My Space</t>
        </is>
      </c>
      <c r="C20" s="11" t="inlineStr">
        <is>
          <t>내 오프보딩 (/my/offboarding)</t>
        </is>
      </c>
      <c r="D20" s="11" t="inlineStr">
        <is>
          <t>EMPLOYEE (employee-a@ctr.co.kr)</t>
        </is>
      </c>
      <c r="E20" s="11" t="inlineStr"/>
      <c r="F20" s="11" t="inlineStr"/>
      <c r="G20" s="11" t="inlineStr"/>
      <c r="H20" s="11" t="inlineStr"/>
      <c r="I20" s="11" t="inlineStr"/>
    </row>
    <row r="21">
      <c r="A21" s="10" t="n">
        <v>20</v>
      </c>
      <c r="B21" s="11" t="inlineStr">
        <is>
          <t>My Space</t>
        </is>
      </c>
      <c r="C21" s="11" t="inlineStr">
        <is>
          <t>내 내부공모 (/my/internal-jobs)</t>
        </is>
      </c>
      <c r="D21" s="11" t="inlineStr">
        <is>
          <t>EMPLOYEE (employee-a@ctr.co.kr)</t>
        </is>
      </c>
      <c r="E21" s="11" t="inlineStr"/>
      <c r="F21" s="11" t="inlineStr"/>
      <c r="G21" s="11" t="inlineStr"/>
      <c r="H21" s="11" t="inlineStr"/>
      <c r="I21" s="11" t="inlineStr"/>
    </row>
  </sheetData>
  <conditionalFormatting sqref="E2:E21">
    <cfRule type="cellIs" priority="1" operator="equal" dxfId="0">
      <formula>"Y"</formula>
    </cfRule>
    <cfRule type="cellIs" priority="2" operator="equal" dxfId="1">
      <formula>"N"</formula>
    </cfRule>
    <cfRule type="cellIs" priority="3" operator="equal" dxfId="3">
      <formula>"NA"</formula>
    </cfRule>
  </conditionalFormatting>
  <dataValidations count="2">
    <dataValidation sqref="E2:E21" showDropDown="0" showInputMessage="0" showErrorMessage="0" allowBlank="1" type="list">
      <formula1>"Y,N,NA"</formula1>
    </dataValidation>
    <dataValidation sqref="F2:F21" showDropDown="0" showInputMessage="0" showErrorMessage="0" allowBlank="1" type="list">
      <formula1>"Critical,Major,Minor,개선"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F4444"/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22" customWidth="1" min="4" max="4"/>
    <col width="22" customWidth="1" min="5" max="5"/>
    <col width="35" customWidth="1" min="6" max="6"/>
    <col width="35" customWidth="1" min="7" max="7"/>
    <col width="25" customWidth="1" min="8" max="8"/>
    <col width="14" customWidth="1" min="9" max="9"/>
    <col width="10" customWidth="1" min="10" max="10"/>
    <col width="20" customWidth="1" min="11" max="11"/>
  </cols>
  <sheetData>
    <row r="1">
      <c r="A1" s="9" t="inlineStr">
        <is>
          <t>Step#</t>
        </is>
      </c>
      <c r="B1" s="9" t="inlineStr">
        <is>
          <t>비즈니스 목적</t>
        </is>
      </c>
      <c r="C1" s="9" t="inlineStr">
        <is>
          <t>테스터 역할</t>
        </is>
      </c>
      <c r="D1" s="9" t="inlineStr">
        <is>
          <t>전제조건</t>
        </is>
      </c>
      <c r="E1" s="9" t="inlineStr">
        <is>
          <t>테스트 데이터</t>
        </is>
      </c>
      <c r="F1" s="9" t="inlineStr">
        <is>
          <t>수행 액션</t>
        </is>
      </c>
      <c r="G1" s="9" t="inlineStr">
        <is>
          <t>기대되는 비즈니스 결과</t>
        </is>
      </c>
      <c r="H1" s="9" t="inlineStr">
        <is>
          <t>실제 결과</t>
        </is>
      </c>
      <c r="I1" s="9" t="inlineStr">
        <is>
          <t>Pass/Fail/Block</t>
        </is>
      </c>
      <c r="J1" s="9" t="inlineStr">
        <is>
          <t>이슈ID</t>
        </is>
      </c>
      <c r="K1" s="9" t="inlineStr">
        <is>
          <t>비고</t>
        </is>
      </c>
    </row>
    <row r="2">
      <c r="A2" s="10" t="n">
        <v>1</v>
      </c>
      <c r="B2" s="11" t="inlineStr">
        <is>
          <t>수습 진행 중 직원 조회</t>
        </is>
      </c>
      <c r="C2" s="11" t="inlineStr">
        <is>
          <t>HR_ADMIN (hr@ctr.co.kr)</t>
        </is>
      </c>
      <c r="D2" s="11" t="inlineStr">
        <is>
          <t>로그인 완료, EDGE-001 시드 데이터 존재</t>
        </is>
      </c>
      <c r="E2" s="11" t="inlineStr">
        <is>
          <t>김수습 (EDGE-001)</t>
        </is>
      </c>
      <c r="F2" s="11" t="inlineStr">
        <is>
          <t>직원 목록에서 김수습 검색 &gt; 상세 페이지 진입</t>
        </is>
      </c>
      <c r="G2" s="11" t="inlineStr">
        <is>
          <t>수습 배지가 표시되고 수습 만료일(2026-06-01)이 확인됨. 수습 기간 중임을 시각적으로 구분 가능</t>
        </is>
      </c>
      <c r="H2" s="11" t="inlineStr"/>
      <c r="I2" s="11" t="inlineStr"/>
      <c r="J2" s="11" t="inlineStr"/>
      <c r="K2" s="11" t="inlineStr"/>
    </row>
    <row r="3">
      <c r="A3" s="10" t="n">
        <v>2</v>
      </c>
      <c r="B3" s="11" t="inlineStr">
        <is>
          <t>수습 만료 직원 경고</t>
        </is>
      </c>
      <c r="C3" s="11" t="inlineStr">
        <is>
          <t>HR_ADMIN (hr@ctr.co.kr)</t>
        </is>
      </c>
      <c r="D3" s="11" t="inlineStr">
        <is>
          <t>로그인 완료, EDGE-002 시드 데이터 존재</t>
        </is>
      </c>
      <c r="E3" s="11" t="inlineStr">
        <is>
          <t>박만료 (EDGE-002)</t>
        </is>
      </c>
      <c r="F3" s="11" t="inlineStr">
        <is>
          <t>직원 목록에서 박만료 검색</t>
        </is>
      </c>
      <c r="G3" s="11" t="inlineStr">
        <is>
          <t>수습 기간 만료 경고가 표시됨 (2026-01-01 이미 지남). 수습 종료 처리가 필요하다는 알림</t>
        </is>
      </c>
      <c r="H3" s="11" t="inlineStr"/>
      <c r="I3" s="11" t="inlineStr"/>
      <c r="J3" s="11" t="inlineStr"/>
      <c r="K3" s="11" t="inlineStr"/>
    </row>
    <row r="4">
      <c r="A4" s="10" t="n">
        <v>3</v>
      </c>
      <c r="B4" s="11" t="inlineStr">
        <is>
          <t>계약 만료 임박 직원</t>
        </is>
      </c>
      <c r="C4" s="11" t="inlineStr">
        <is>
          <t>HR_ADMIN (hr@ctr.co.kr)</t>
        </is>
      </c>
      <c r="D4" s="11" t="inlineStr">
        <is>
          <t>로그인 완료, EDGE-003 시드 데이터 존재</t>
        </is>
      </c>
      <c r="E4" s="11" t="inlineStr">
        <is>
          <t>이계약 (EDGE-003)</t>
        </is>
      </c>
      <c r="F4" s="11" t="inlineStr">
        <is>
          <t>직원 목록 또는 대시보드에서 계약 만료 예정자 확인</t>
        </is>
      </c>
      <c r="G4" s="11" t="inlineStr">
        <is>
          <t>D-30 알림이 표시되고 계약 갱신/종료 조치가 필요함을 안내</t>
        </is>
      </c>
      <c r="H4" s="11" t="inlineStr"/>
      <c r="I4" s="11" t="inlineStr"/>
      <c r="J4" s="11" t="inlineStr"/>
      <c r="K4" s="11" t="inlineStr"/>
    </row>
    <row r="5">
      <c r="A5" s="10" t="n">
        <v>4</v>
      </c>
      <c r="B5" s="11" t="inlineStr">
        <is>
          <t>계약 만료 직원 상태</t>
        </is>
      </c>
      <c r="C5" s="11" t="inlineStr">
        <is>
          <t>HR_ADMIN (hr@ctr.co.kr)</t>
        </is>
      </c>
      <c r="D5" s="11" t="inlineStr">
        <is>
          <t>로그인 완료, EDGE-004 시드 데이터 존재</t>
        </is>
      </c>
      <c r="E5" s="11" t="inlineStr">
        <is>
          <t>최만기 (EDGE-004)</t>
        </is>
      </c>
      <c r="F5" s="11" t="inlineStr">
        <is>
          <t>직원 목록에서 최만기 검색</t>
        </is>
      </c>
      <c r="G5" s="11" t="inlineStr">
        <is>
          <t>계약 만료 상태가 명확히 표시됨 (만료일: 2026-03-31)</t>
        </is>
      </c>
      <c r="H5" s="11" t="inlineStr"/>
      <c r="I5" s="11" t="inlineStr"/>
      <c r="J5" s="11" t="inlineStr"/>
      <c r="K5" s="11" t="inlineStr"/>
    </row>
    <row r="6">
      <c r="A6" s="10" t="n">
        <v>5</v>
      </c>
      <c r="B6" s="11" t="inlineStr">
        <is>
          <t>육아휴직 중 직원</t>
        </is>
      </c>
      <c r="C6" s="11" t="inlineStr">
        <is>
          <t>HR_ADMIN (hr@ctr.co.kr)</t>
        </is>
      </c>
      <c r="D6" s="11" t="inlineStr">
        <is>
          <t>로그인 완료, EDGE-005 시드 데이터 존재</t>
        </is>
      </c>
      <c r="E6" s="11" t="inlineStr">
        <is>
          <t>정육아 (EDGE-005)</t>
        </is>
      </c>
      <c r="F6" s="11" t="inlineStr">
        <is>
          <t>직원 목록에서 정육아 확인 + 출퇴근/급여 관리에서 확인</t>
        </is>
      </c>
      <c r="G6" s="11" t="inlineStr">
        <is>
          <t>출퇴근 대상에서 제외되고, 급여 대상에서 제외됨. 휴직 상태 배지 표시</t>
        </is>
      </c>
      <c r="H6" s="11" t="inlineStr"/>
      <c r="I6" s="11" t="inlineStr"/>
      <c r="J6" s="11" t="inlineStr"/>
      <c r="K6" s="11" t="inlineStr"/>
    </row>
    <row r="7">
      <c r="A7" s="10" t="n">
        <v>6</v>
      </c>
      <c r="B7" s="11" t="inlineStr">
        <is>
          <t>휴직 복귀 예정 직원</t>
        </is>
      </c>
      <c r="C7" s="11" t="inlineStr">
        <is>
          <t>HR_ADMIN (hr@ctr.co.kr)</t>
        </is>
      </c>
      <c r="D7" s="11" t="inlineStr">
        <is>
          <t>로그인 완료, EDGE-006 시드 데이터 존재</t>
        </is>
      </c>
      <c r="E7" s="11" t="inlineStr">
        <is>
          <t>한복귀 (EDGE-006)</t>
        </is>
      </c>
      <c r="F7" s="11" t="inlineStr">
        <is>
          <t>직원 목록 또는 휴직 관리에서 한복귀 확인</t>
        </is>
      </c>
      <c r="G7" s="11" t="inlineStr">
        <is>
          <t>복귀 예정 알림이 표시되고 복귀 처리 버튼 제공</t>
        </is>
      </c>
      <c r="H7" s="11" t="inlineStr"/>
      <c r="I7" s="11" t="inlineStr"/>
      <c r="J7" s="11" t="inlineStr"/>
      <c r="K7" s="11" t="inlineStr"/>
    </row>
    <row r="8">
      <c r="A8" s="10" t="n">
        <v>7</v>
      </c>
      <c r="B8" s="11" t="inlineStr">
        <is>
          <t>퇴사 예정 직원 오프보딩</t>
        </is>
      </c>
      <c r="C8" s="11" t="inlineStr">
        <is>
          <t>HR_ADMIN (hr@ctr.co.kr)</t>
        </is>
      </c>
      <c r="D8" s="11" t="inlineStr">
        <is>
          <t>로그인 완료, EDGE-007 시드 데이터 존재</t>
        </is>
      </c>
      <c r="E8" s="11" t="inlineStr">
        <is>
          <t>오퇴사 (EDGE-007)</t>
        </is>
      </c>
      <c r="F8" s="11" t="inlineStr">
        <is>
          <t>직원 목록에서 오퇴사 확인 &gt; 오프보딩 메뉴 확인</t>
        </is>
      </c>
      <c r="G8" s="11" t="inlineStr">
        <is>
          <t>오프보딩 체크리스트가 생성되어 있고 퇴사일(2026-05-06)까지 진행 상태 확인 가능</t>
        </is>
      </c>
      <c r="H8" s="11" t="inlineStr"/>
      <c r="I8" s="11" t="inlineStr"/>
      <c r="J8" s="11" t="inlineStr"/>
      <c r="K8" s="11" t="inlineStr"/>
    </row>
    <row r="9">
      <c r="A9" s="10" t="n">
        <v>8</v>
      </c>
      <c r="B9" s="11" t="inlineStr">
        <is>
          <t>퇴직 완료 직원 접근 차단</t>
        </is>
      </c>
      <c r="C9" s="11" t="inlineStr">
        <is>
          <t>HR_ADMIN (hr@ctr.co.kr)</t>
        </is>
      </c>
      <c r="D9" s="11" t="inlineStr">
        <is>
          <t>로그인 완료, EDGE-008 시드 데이터 존재</t>
        </is>
      </c>
      <c r="E9" s="11" t="inlineStr">
        <is>
          <t>유퇴직 (EDGE-008)</t>
        </is>
      </c>
      <c r="F9" s="11" t="inlineStr">
        <is>
          <t>유퇴직 계정으로 로그인 시도 또는 활성 직원 목록에서 확인</t>
        </is>
      </c>
      <c r="G9" s="11" t="inlineStr">
        <is>
          <t>유퇴직은 활성 직원 목록에서 제외되고, 해당 계정 로그인이 차단됨</t>
        </is>
      </c>
      <c r="H9" s="11" t="inlineStr"/>
      <c r="I9" s="11" t="inlineStr"/>
      <c r="J9" s="11" t="inlineStr"/>
      <c r="K9" s="11" t="inlineStr"/>
    </row>
    <row r="10">
      <c r="A10" s="10" t="n">
        <v>9</v>
      </c>
      <c r="B10" s="11" t="inlineStr">
        <is>
          <t>겸직자 (2개 법인)</t>
        </is>
      </c>
      <c r="C10" s="11" t="inlineStr">
        <is>
          <t>HR_ADMIN (hr@ctr.co.kr)</t>
        </is>
      </c>
      <c r="D10" s="11" t="inlineStr">
        <is>
          <t>로그인 완료, EDGE-009 시드 데이터 존재</t>
        </is>
      </c>
      <c r="E10" s="11" t="inlineStr">
        <is>
          <t>강겸직 (EDGE-009)</t>
        </is>
      </c>
      <c r="F10" s="11" t="inlineStr">
        <is>
          <t>직원 목록에서 강겸직 검색 &gt; 발령 정보 확인</t>
        </is>
      </c>
      <c r="G10" s="11" t="inlineStr">
        <is>
          <t>2개 법인(CTR, 다른 법인)에 모두 발령이 표시되고 각 법인에서 조회 가능</t>
        </is>
      </c>
      <c r="H10" s="11" t="inlineStr"/>
      <c r="I10" s="11" t="inlineStr"/>
      <c r="J10" s="11" t="inlineStr"/>
      <c r="K10" s="11" t="inlineStr"/>
    </row>
    <row r="11">
      <c r="A11" s="10" t="n">
        <v>10</v>
      </c>
      <c r="B11" s="11" t="inlineStr">
        <is>
          <t>다직위자 (3개 직위)</t>
        </is>
      </c>
      <c r="C11" s="11" t="inlineStr">
        <is>
          <t>HR_ADMIN (hr@ctr.co.kr)</t>
        </is>
      </c>
      <c r="D11" s="11" t="inlineStr">
        <is>
          <t>로그인 완료, EDGE-010 시드 데이터 존재</t>
        </is>
      </c>
      <c r="E11" s="11" t="inlineStr">
        <is>
          <t>임다직 (EDGE-010)</t>
        </is>
      </c>
      <c r="F11" s="11" t="inlineStr">
        <is>
          <t>직원 상세에서 임다직의 직위 정보 확인</t>
        </is>
      </c>
      <c r="G11" s="11" t="inlineStr">
        <is>
          <t>3개 직위가 모두 표시되고 주직위가 구분됨</t>
        </is>
      </c>
      <c r="H11" s="11" t="inlineStr"/>
      <c r="I11" s="11" t="inlineStr"/>
      <c r="J11" s="11" t="inlineStr"/>
      <c r="K11" s="11" t="inlineStr"/>
    </row>
    <row r="12">
      <c r="A12" s="10" t="n">
        <v>11</v>
      </c>
      <c r="B12" s="11" t="inlineStr">
        <is>
          <t>매니저 없는 직원 (CEO)</t>
        </is>
      </c>
      <c r="C12" s="11" t="inlineStr">
        <is>
          <t>HR_ADMIN (hr@ctr.co.kr)</t>
        </is>
      </c>
      <c r="D12" s="11" t="inlineStr">
        <is>
          <t>로그인 완료, EDGE-011 시드 데이터 존재</t>
        </is>
      </c>
      <c r="E12" s="11" t="inlineStr">
        <is>
          <t>윤대표 (EDGE-011)</t>
        </is>
      </c>
      <c r="F12" s="11" t="inlineStr">
        <is>
          <t>직원 상세에서 보고 라인 확인 + 결재 라인 확인</t>
        </is>
      </c>
      <c r="G12" s="11" t="inlineStr">
        <is>
          <t>상위 보고자 없이 정상 표시. 결재 시 스킵 또는 HR 직접 처리됨</t>
        </is>
      </c>
      <c r="H12" s="11" t="inlineStr"/>
      <c r="I12" s="11" t="inlineStr"/>
      <c r="J12" s="11" t="inlineStr"/>
      <c r="K12" s="11" t="inlineStr"/>
    </row>
    <row r="13">
      <c r="A13" s="10" t="n">
        <v>12</v>
      </c>
      <c r="B13" s="11" t="inlineStr">
        <is>
          <t>EMPLOYEE 타인 급여 접근 차단</t>
        </is>
      </c>
      <c r="C13" s="11" t="inlineStr">
        <is>
          <t>EMPLOYEE (employee-a@ctr.co.kr)</t>
        </is>
      </c>
      <c r="D13" s="11" t="inlineStr">
        <is>
          <t>로그인 완료</t>
        </is>
      </c>
      <c r="E13" s="11" t="inlineStr">
        <is>
          <t>URL: /payroll/me/[다른직원RunID]</t>
        </is>
      </c>
      <c r="F13" s="11" t="inlineStr">
        <is>
          <t>브라우저 주소창에 다른 직원의 급여 URL 입력</t>
        </is>
      </c>
      <c r="G13" s="11" t="inlineStr">
        <is>
          <t>403 접근 거부. 본인 급여만 조회 가능</t>
        </is>
      </c>
      <c r="H13" s="11" t="inlineStr"/>
      <c r="I13" s="11" t="inlineStr"/>
      <c r="J13" s="11" t="inlineStr"/>
      <c r="K13" s="11" t="inlineStr"/>
    </row>
    <row r="14">
      <c r="A14" s="10" t="n">
        <v>13</v>
      </c>
      <c r="B14" s="11" t="inlineStr">
        <is>
          <t>HR_ADMIN 타 법인 데이터 격리</t>
        </is>
      </c>
      <c r="C14" s="11" t="inlineStr">
        <is>
          <t>HR_ADMIN (hr@ctr.co.kr)</t>
        </is>
      </c>
      <c r="D14" s="11" t="inlineStr">
        <is>
          <t>로그인 완료</t>
        </is>
      </c>
      <c r="E14" s="11" t="inlineStr"/>
      <c r="F14" s="11" t="inlineStr">
        <is>
          <t>CTR 법인 HR_ADMIN으로 CTR-CN 직원 데이터 접근 시도</t>
        </is>
      </c>
      <c r="G14" s="11" t="inlineStr">
        <is>
          <t>CTR-CN 직원 데이터가 표시되지 않음 (법인 격리)</t>
        </is>
      </c>
      <c r="H14" s="11" t="inlineStr"/>
      <c r="I14" s="11" t="inlineStr"/>
      <c r="J14" s="11" t="inlineStr"/>
      <c r="K14" s="11" t="inlineStr"/>
    </row>
    <row r="15">
      <c r="A15" s="10" t="n">
        <v>14</v>
      </c>
      <c r="B15" s="11" t="inlineStr">
        <is>
          <t>부서 미배정 신규 입사자</t>
        </is>
      </c>
      <c r="C15" s="11" t="inlineStr">
        <is>
          <t>HR_ADMIN (hr@ctr.co.kr)</t>
        </is>
      </c>
      <c r="D15" s="11" t="inlineStr">
        <is>
          <t>로그인 완료, EDGE-012 시드 데이터 존재</t>
        </is>
      </c>
      <c r="E15" s="11" t="inlineStr">
        <is>
          <t>신입사 (EDGE-012)</t>
        </is>
      </c>
      <c r="F15" s="11" t="inlineStr">
        <is>
          <t>직원 목록에서 신입사 확인</t>
        </is>
      </c>
      <c r="G15" s="11" t="inlineStr">
        <is>
          <t>부서 미배정 상태로 오류 없이 표시됨. 부서 배정 필요 알림</t>
        </is>
      </c>
      <c r="H15" s="11" t="inlineStr"/>
      <c r="I15" s="11" t="inlineStr"/>
      <c r="J15" s="11" t="inlineStr"/>
      <c r="K15" s="11" t="inlineStr"/>
    </row>
    <row r="16">
      <c r="A16" s="10" t="n">
        <v>15</v>
      </c>
      <c r="B16" s="11" t="inlineStr">
        <is>
          <t>연차 잔액 0일 직원</t>
        </is>
      </c>
      <c r="C16" s="11" t="inlineStr">
        <is>
          <t>HR_ADMIN (hr@ctr.co.kr)</t>
        </is>
      </c>
      <c r="D16" s="11" t="inlineStr">
        <is>
          <t>로그인 완료, EDGE-021 시드 데이터 존재</t>
        </is>
      </c>
      <c r="E16" s="11" t="inlineStr">
        <is>
          <t>공소진 (EDGE-021)</t>
        </is>
      </c>
      <c r="F16" s="11" t="inlineStr">
        <is>
          <t>휴가 관리에서 공소진 확인 + 추가 신청 시도</t>
        </is>
      </c>
      <c r="G16" s="11" t="inlineStr">
        <is>
          <t>잔액 0일 표시. 추가 신청 시 차단 또는 마이너스 경고</t>
        </is>
      </c>
      <c r="H16" s="11" t="inlineStr"/>
      <c r="I16" s="11" t="inlineStr"/>
      <c r="J16" s="11" t="inlineStr"/>
      <c r="K16" s="11" t="inlineStr"/>
    </row>
    <row r="17">
      <c r="A17" s="10" t="n">
        <v>16</v>
      </c>
      <c r="B17" s="11" t="inlineStr">
        <is>
          <t>연차 마이너스 잔액 직원</t>
        </is>
      </c>
      <c r="C17" s="11" t="inlineStr">
        <is>
          <t>HR_ADMIN (hr@ctr.co.kr)</t>
        </is>
      </c>
      <c r="D17" s="11" t="inlineStr">
        <is>
          <t>로그인 완료, EDGE-022 시드 데이터 존재</t>
        </is>
      </c>
      <c r="E17" s="11" t="inlineStr">
        <is>
          <t>마이너 (EDGE-022)</t>
        </is>
      </c>
      <c r="F17" s="11" t="inlineStr">
        <is>
          <t>휴가 관리에서 마이너 확인</t>
        </is>
      </c>
      <c r="G17" s="11" t="inlineStr">
        <is>
          <t>마이너스 잔액이 정확히 표시되고 급여 공제 연동 확인</t>
        </is>
      </c>
      <c r="H17" s="11" t="inlineStr"/>
      <c r="I17" s="11" t="inlineStr"/>
      <c r="J17" s="11" t="inlineStr"/>
      <c r="K17" s="11" t="inlineStr"/>
    </row>
    <row r="18">
      <c r="A18" s="10" t="n">
        <v>17</v>
      </c>
      <c r="B18" s="11" t="inlineStr">
        <is>
          <t>빈번한 지각 직원</t>
        </is>
      </c>
      <c r="C18" s="11" t="inlineStr">
        <is>
          <t>HR_ADMIN (hr@ctr.co.kr)</t>
        </is>
      </c>
      <c r="D18" s="11" t="inlineStr">
        <is>
          <t>로그인 완료, EDGE-023 시드 데이터 존재</t>
        </is>
      </c>
      <c r="E18" s="11" t="inlineStr">
        <is>
          <t>지각왕 (EDGE-023)</t>
        </is>
      </c>
      <c r="F18" s="11" t="inlineStr">
        <is>
          <t>출퇴근 관리에서 지각왕의 출퇴근 이력 확인</t>
        </is>
      </c>
      <c r="G18" s="11" t="inlineStr">
        <is>
          <t>빈번한 지각 패턴이 이상 항목으로 감지되고 경고 표시</t>
        </is>
      </c>
      <c r="H18" s="11" t="inlineStr"/>
      <c r="I18" s="11" t="inlineStr"/>
      <c r="J18" s="11" t="inlineStr"/>
      <c r="K18" s="11" t="inlineStr"/>
    </row>
    <row r="19">
      <c r="A19" s="10" t="n">
        <v>18</v>
      </c>
      <c r="B19" s="11" t="inlineStr">
        <is>
          <t>52시간 초과 위험 직원</t>
        </is>
      </c>
      <c r="C19" s="11" t="inlineStr">
        <is>
          <t>HR_ADMIN (hr@ctr.co.kr)</t>
        </is>
      </c>
      <c r="D19" s="11" t="inlineStr">
        <is>
          <t>로그인 완료, EDGE-024 시드 데이터 존재</t>
        </is>
      </c>
      <c r="E19" s="11" t="inlineStr">
        <is>
          <t>과로자 (EDGE-024)</t>
        </is>
      </c>
      <c r="F19" s="11" t="inlineStr">
        <is>
          <t>출퇴근 관리에서 52시간 모니터링 확인</t>
        </is>
      </c>
      <c r="G19" s="11" t="inlineStr">
        <is>
          <t>주 52시간 초과 위험 경고가 표시됨</t>
        </is>
      </c>
      <c r="H19" s="11" t="inlineStr"/>
      <c r="I19" s="11" t="inlineStr"/>
      <c r="J19" s="11" t="inlineStr"/>
      <c r="K19" s="11" t="inlineStr"/>
    </row>
    <row r="20">
      <c r="A20" s="10" t="n">
        <v>19</v>
      </c>
      <c r="B20" s="11" t="inlineStr">
        <is>
          <t>잘못된 URL 직접 입력</t>
        </is>
      </c>
      <c r="C20" s="11" t="inlineStr">
        <is>
          <t>EMPLOYEE (employee-a@ctr.co.kr)</t>
        </is>
      </c>
      <c r="D20" s="11" t="inlineStr">
        <is>
          <t>로그인 완료</t>
        </is>
      </c>
      <c r="E20" s="11" t="inlineStr">
        <is>
          <t>URL: /존재하지않는페이지</t>
        </is>
      </c>
      <c r="F20" s="11" t="inlineStr">
        <is>
          <t>브라우저 주소창에 존재하지 않는 경로 입력</t>
        </is>
      </c>
      <c r="G20" s="11" t="inlineStr">
        <is>
          <t>404 페이지가 표시되거나 홈으로 리다이렉트됨</t>
        </is>
      </c>
      <c r="H20" s="11" t="inlineStr"/>
      <c r="I20" s="11" t="inlineStr"/>
      <c r="J20" s="11" t="inlineStr"/>
      <c r="K20" s="11" t="inlineStr"/>
    </row>
    <row r="21">
      <c r="A21" s="10" t="n">
        <v>20</v>
      </c>
      <c r="B21" s="11" t="inlineStr">
        <is>
          <t>동시 세션 테스트</t>
        </is>
      </c>
      <c r="C21" s="11" t="inlineStr">
        <is>
          <t>EMPLOYEE (employee-a@ctr.co.kr)</t>
        </is>
      </c>
      <c r="D21" s="11" t="inlineStr">
        <is>
          <t>로그인 완료</t>
        </is>
      </c>
      <c r="E21" s="11" t="inlineStr">
        <is>
          <t>2개 브라우저(Chrome + Safari)</t>
        </is>
      </c>
      <c r="F21" s="11" t="inlineStr">
        <is>
          <t>두 브라우저에서 동일 계정으로 동시 로그인 후 동시 작업</t>
        </is>
      </c>
      <c r="G21" s="11" t="inlineStr">
        <is>
          <t>두 세션 모두 정상 동작하거나, 보안 정책에 따라 이전 세션이 만료됨</t>
        </is>
      </c>
      <c r="H21" s="11" t="inlineStr"/>
      <c r="I21" s="11" t="inlineStr"/>
      <c r="J21" s="11" t="inlineStr"/>
      <c r="K21" s="11" t="inlineStr"/>
    </row>
  </sheetData>
  <conditionalFormatting sqref="I2:I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"Block"</formula>
    </cfRule>
    <cfRule type="cellIs" priority="4" operator="equal" dxfId="3">
      <formula>"N/A"</formula>
    </cfRule>
  </conditionalFormatting>
  <dataValidations count="1">
    <dataValidation sqref="I2:I21" showDropDown="0" showInputMessage="0" showErrorMessage="0" allowBlank="1" errorTitle="입력 오류" error="유효한 값: Pass, Fail, Block, N/A" type="list">
      <formula1>"Pass,Fail,Block,N/A"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CA3AF"/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CTR HR Hub UAT 테스트 집계</t>
        </is>
      </c>
    </row>
    <row r="3">
      <c r="A3" s="9" t="inlineStr">
        <is>
          <t>모듈</t>
        </is>
      </c>
      <c r="B3" s="9" t="inlineStr">
        <is>
          <t>총 항목수</t>
        </is>
      </c>
      <c r="C3" s="9" t="inlineStr">
        <is>
          <t>완료</t>
        </is>
      </c>
      <c r="D3" s="9" t="inlineStr">
        <is>
          <t>Pass</t>
        </is>
      </c>
      <c r="E3" s="9" t="inlineStr">
        <is>
          <t>Fail</t>
        </is>
      </c>
      <c r="F3" s="9" t="inlineStr">
        <is>
          <t>Block</t>
        </is>
      </c>
      <c r="G3" s="9" t="inlineStr">
        <is>
          <t>N/A</t>
        </is>
      </c>
      <c r="H3" s="9" t="inlineStr">
        <is>
          <t>통과율(%)</t>
        </is>
      </c>
    </row>
    <row r="4">
      <c r="A4" s="12" t="inlineStr">
        <is>
          <t>인사관리</t>
        </is>
      </c>
      <c r="B4" s="10" t="n">
        <v>30</v>
      </c>
      <c r="C4" s="10">
        <f>COUNTA('인사관리'!I2:I31)</f>
        <v/>
      </c>
      <c r="D4" s="10">
        <f>COUNTIF('인사관리'!I2:I31,"Pass")</f>
        <v/>
      </c>
      <c r="E4" s="10">
        <f>COUNTIF('인사관리'!I2:I31,"Fail")</f>
        <v/>
      </c>
      <c r="F4" s="10">
        <f>COUNTIF('인사관리'!I2:I31,"Block")</f>
        <v/>
      </c>
      <c r="G4" s="10">
        <f>COUNTIF('인사관리'!I2:I31,"N/A")</f>
        <v/>
      </c>
      <c r="H4" s="13">
        <f>IF((D4+E4)=0,"-",D4/(D4+E4))</f>
        <v/>
      </c>
    </row>
    <row r="5">
      <c r="A5" s="12" t="inlineStr">
        <is>
          <t>출퇴근</t>
        </is>
      </c>
      <c r="B5" s="10" t="n">
        <v>22</v>
      </c>
      <c r="C5" s="10">
        <f>COUNTA('출퇴근'!I2:I23)</f>
        <v/>
      </c>
      <c r="D5" s="10">
        <f>COUNTIF('출퇴근'!I2:I23,"Pass")</f>
        <v/>
      </c>
      <c r="E5" s="10">
        <f>COUNTIF('출퇴근'!I2:I23,"Fail")</f>
        <v/>
      </c>
      <c r="F5" s="10">
        <f>COUNTIF('출퇴근'!I2:I23,"Block")</f>
        <v/>
      </c>
      <c r="G5" s="10">
        <f>COUNTIF('출퇴근'!I2:I23,"N/A")</f>
        <v/>
      </c>
      <c r="H5" s="13">
        <f>IF((D5+E5)=0,"-",D5/(D5+E5))</f>
        <v/>
      </c>
    </row>
    <row r="6">
      <c r="A6" s="12" t="inlineStr">
        <is>
          <t>휴가관리</t>
        </is>
      </c>
      <c r="B6" s="10" t="n">
        <v>25</v>
      </c>
      <c r="C6" s="10">
        <f>COUNTA('휴가관리'!I2:I26)</f>
        <v/>
      </c>
      <c r="D6" s="10">
        <f>COUNTIF('휴가관리'!I2:I26,"Pass")</f>
        <v/>
      </c>
      <c r="E6" s="10">
        <f>COUNTIF('휴가관리'!I2:I26,"Fail")</f>
        <v/>
      </c>
      <c r="F6" s="10">
        <f>COUNTIF('휴가관리'!I2:I26,"Block")</f>
        <v/>
      </c>
      <c r="G6" s="10">
        <f>COUNTIF('휴가관리'!I2:I26,"N/A")</f>
        <v/>
      </c>
      <c r="H6" s="13">
        <f>IF((D6+E6)=0,"-",D6/(D6+E6))</f>
        <v/>
      </c>
    </row>
    <row r="7">
      <c r="A7" s="12" t="inlineStr">
        <is>
          <t>급여</t>
        </is>
      </c>
      <c r="B7" s="10" t="n">
        <v>22</v>
      </c>
      <c r="C7" s="10">
        <f>COUNTA('급여'!I2:I23)</f>
        <v/>
      </c>
      <c r="D7" s="10">
        <f>COUNTIF('급여'!I2:I23,"Pass")</f>
        <v/>
      </c>
      <c r="E7" s="10">
        <f>COUNTIF('급여'!I2:I23,"Fail")</f>
        <v/>
      </c>
      <c r="F7" s="10">
        <f>COUNTIF('급여'!I2:I23,"Block")</f>
        <v/>
      </c>
      <c r="G7" s="10">
        <f>COUNTIF('급여'!I2:I23,"N/A")</f>
        <v/>
      </c>
      <c r="H7" s="13">
        <f>IF((D7+E7)=0,"-",D7/(D7+E7))</f>
        <v/>
      </c>
    </row>
    <row r="8">
      <c r="A8" s="12" t="inlineStr">
        <is>
          <t>결재/승인</t>
        </is>
      </c>
      <c r="B8" s="10" t="n">
        <v>18</v>
      </c>
      <c r="C8" s="10">
        <f>COUNTA('결재_승인'!I2:I19)</f>
        <v/>
      </c>
      <c r="D8" s="10">
        <f>COUNTIF('결재_승인'!I2:I19,"Pass")</f>
        <v/>
      </c>
      <c r="E8" s="10">
        <f>COUNTIF('결재_승인'!I2:I19,"Fail")</f>
        <v/>
      </c>
      <c r="F8" s="10">
        <f>COUNTIF('결재_승인'!I2:I19,"Block")</f>
        <v/>
      </c>
      <c r="G8" s="10">
        <f>COUNTIF('결재_승인'!I2:I19,"N/A")</f>
        <v/>
      </c>
      <c r="H8" s="13">
        <f>IF((D8+E8)=0,"-",D8/(D8+E8))</f>
        <v/>
      </c>
    </row>
    <row r="9">
      <c r="A9" s="12" t="inlineStr">
        <is>
          <t>마스터데이터 설정</t>
        </is>
      </c>
      <c r="B9" s="10" t="n">
        <v>36</v>
      </c>
      <c r="C9" s="10">
        <f>COUNTA('마스터데이터_설정'!I2:I37)</f>
        <v/>
      </c>
      <c r="D9" s="10">
        <f>COUNTIF('마스터데이터_설정'!I2:I37,"Pass")</f>
        <v/>
      </c>
      <c r="E9" s="10">
        <f>COUNTIF('마스터데이터_설정'!I2:I37,"Fail")</f>
        <v/>
      </c>
      <c r="F9" s="10">
        <f>COUNTIF('마스터데이터_설정'!I2:I37,"Block")</f>
        <v/>
      </c>
      <c r="G9" s="10">
        <f>COUNTIF('마스터데이터_설정'!I2:I37,"N/A")</f>
        <v/>
      </c>
      <c r="H9" s="13">
        <f>IF((D9+E9)=0,"-",D9/(D9+E9))</f>
        <v/>
      </c>
    </row>
    <row r="10">
      <c r="A10" s="12" t="inlineStr">
        <is>
          <t>성과관리</t>
        </is>
      </c>
      <c r="B10" s="10" t="n">
        <v>31</v>
      </c>
      <c r="C10" s="10">
        <f>COUNTA('성과관리'!E2:E32)</f>
        <v/>
      </c>
      <c r="D10" s="10">
        <f>COUNTIF('성과관리'!E2:E32,"Y")</f>
        <v/>
      </c>
      <c r="E10" s="10">
        <f>COUNTIF('성과관리'!E2:E32,"N")</f>
        <v/>
      </c>
      <c r="F10" s="10">
        <f>0</f>
        <v/>
      </c>
      <c r="G10" s="10">
        <f>COUNTIF('성과관리'!E2:E32,"NA")</f>
        <v/>
      </c>
      <c r="H10" s="13">
        <f>IF((D10+E10)=0,"-",D10/(D10+E10))</f>
        <v/>
      </c>
    </row>
    <row r="11">
      <c r="A11" s="12" t="inlineStr">
        <is>
          <t>채용</t>
        </is>
      </c>
      <c r="B11" s="10" t="n">
        <v>17</v>
      </c>
      <c r="C11" s="10">
        <f>COUNTA('채용'!E2:E18)</f>
        <v/>
      </c>
      <c r="D11" s="10">
        <f>COUNTIF('채용'!E2:E18,"Y")</f>
        <v/>
      </c>
      <c r="E11" s="10">
        <f>COUNTIF('채용'!E2:E18,"N")</f>
        <v/>
      </c>
      <c r="F11" s="10">
        <f>0</f>
        <v/>
      </c>
      <c r="G11" s="10">
        <f>COUNTIF('채용'!E2:E18,"NA")</f>
        <v/>
      </c>
      <c r="H11" s="13">
        <f>IF((D11+E11)=0,"-",D11/(D11+E11))</f>
        <v/>
      </c>
    </row>
    <row r="12">
      <c r="A12" s="12" t="inlineStr">
        <is>
          <t>보상</t>
        </is>
      </c>
      <c r="B12" s="10" t="n">
        <v>8</v>
      </c>
      <c r="C12" s="10">
        <f>COUNTA('보상'!E2:E9)</f>
        <v/>
      </c>
      <c r="D12" s="10">
        <f>COUNTIF('보상'!E2:E9,"Y")</f>
        <v/>
      </c>
      <c r="E12" s="10">
        <f>COUNTIF('보상'!E2:E9,"N")</f>
        <v/>
      </c>
      <c r="F12" s="10">
        <f>0</f>
        <v/>
      </c>
      <c r="G12" s="10">
        <f>COUNTIF('보상'!E2:E9,"NA")</f>
        <v/>
      </c>
      <c r="H12" s="13">
        <f>IF((D12+E12)=0,"-",D12/(D12+E12))</f>
        <v/>
      </c>
    </row>
    <row r="13">
      <c r="A13" s="12" t="inlineStr">
        <is>
          <t>분석</t>
        </is>
      </c>
      <c r="B13" s="10" t="n">
        <v>16</v>
      </c>
      <c r="C13" s="10">
        <f>COUNTA('분석'!E2:E17)</f>
        <v/>
      </c>
      <c r="D13" s="10">
        <f>COUNTIF('분석'!E2:E17,"Y")</f>
        <v/>
      </c>
      <c r="E13" s="10">
        <f>COUNTIF('분석'!E2:E17,"N")</f>
        <v/>
      </c>
      <c r="F13" s="10">
        <f>0</f>
        <v/>
      </c>
      <c r="G13" s="10">
        <f>COUNTIF('분석'!E2:E17,"NA")</f>
        <v/>
      </c>
      <c r="H13" s="13">
        <f>IF((D13+E13)=0,"-",D13/(D13+E13))</f>
        <v/>
      </c>
    </row>
    <row r="14">
      <c r="A14" s="12" t="inlineStr">
        <is>
          <t>온보딩/오프보딩</t>
        </is>
      </c>
      <c r="B14" s="10" t="n">
        <v>9</v>
      </c>
      <c r="C14" s="10">
        <f>COUNTA('온보딩_오프보딩'!E2:E10)</f>
        <v/>
      </c>
      <c r="D14" s="10">
        <f>COUNTIF('온보딩_오프보딩'!E2:E10,"Y")</f>
        <v/>
      </c>
      <c r="E14" s="10">
        <f>COUNTIF('온보딩_오프보딩'!E2:E10,"N")</f>
        <v/>
      </c>
      <c r="F14" s="10">
        <f>0</f>
        <v/>
      </c>
      <c r="G14" s="10">
        <f>COUNTIF('온보딩_오프보딩'!E2:E10,"NA")</f>
        <v/>
      </c>
      <c r="H14" s="13">
        <f>IF((D14+E14)=0,"-",D14/(D14+E14))</f>
        <v/>
      </c>
    </row>
    <row r="15">
      <c r="A15" s="12" t="inlineStr">
        <is>
          <t>규정준수</t>
        </is>
      </c>
      <c r="B15" s="10" t="n">
        <v>8</v>
      </c>
      <c r="C15" s="10">
        <f>COUNTA('규정준수'!E2:E9)</f>
        <v/>
      </c>
      <c r="D15" s="10">
        <f>COUNTIF('규정준수'!E2:E9,"Y")</f>
        <v/>
      </c>
      <c r="E15" s="10">
        <f>COUNTIF('규정준수'!E2:E9,"N")</f>
        <v/>
      </c>
      <c r="F15" s="10">
        <f>0</f>
        <v/>
      </c>
      <c r="G15" s="10">
        <f>COUNTIF('규정준수'!E2:E9,"NA")</f>
        <v/>
      </c>
      <c r="H15" s="13">
        <f>IF((D15+E15)=0,"-",D15/(D15+E15))</f>
        <v/>
      </c>
    </row>
    <row r="16">
      <c r="A16" s="12" t="inlineStr">
        <is>
          <t>My Space</t>
        </is>
      </c>
      <c r="B16" s="10" t="n">
        <v>20</v>
      </c>
      <c r="C16" s="10">
        <f>COUNTA('My Space'!E2:E21)</f>
        <v/>
      </c>
      <c r="D16" s="10">
        <f>COUNTIF('My Space'!E2:E21,"Y")</f>
        <v/>
      </c>
      <c r="E16" s="10">
        <f>COUNTIF('My Space'!E2:E21,"N")</f>
        <v/>
      </c>
      <c r="F16" s="10">
        <f>0</f>
        <v/>
      </c>
      <c r="G16" s="10">
        <f>COUNTIF('My Space'!E2:E21,"NA")</f>
        <v/>
      </c>
      <c r="H16" s="13">
        <f>IF((D16+E16)=0,"-",D16/(D16+E16))</f>
        <v/>
      </c>
    </row>
    <row r="17">
      <c r="A17" s="12" t="inlineStr">
        <is>
          <t>엣지케이스</t>
        </is>
      </c>
      <c r="B17" s="10" t="n">
        <v>20</v>
      </c>
      <c r="C17" s="10">
        <f>COUNTA('엣지케이스'!I2:I21)</f>
        <v/>
      </c>
      <c r="D17" s="10">
        <f>COUNTIF('엣지케이스'!I2:I21,"Pass")</f>
        <v/>
      </c>
      <c r="E17" s="10">
        <f>COUNTIF('엣지케이스'!I2:I21,"Fail")</f>
        <v/>
      </c>
      <c r="F17" s="10">
        <f>COUNTIF('엣지케이스'!I2:I21,"Block")</f>
        <v/>
      </c>
      <c r="G17" s="10">
        <f>COUNTIF('엣지케이스'!I2:I21,"N/A")</f>
        <v/>
      </c>
      <c r="H17" s="13">
        <f>IF((D17+E17)=0,"-",D17/(D17+E17))</f>
        <v/>
      </c>
    </row>
    <row r="18">
      <c r="A18" s="14" t="inlineStr">
        <is>
          <t>합계</t>
        </is>
      </c>
      <c r="B18" s="15">
        <f>SUM(B4:B17)</f>
        <v/>
      </c>
      <c r="C18" s="15">
        <f>SUM(C4:C17)</f>
        <v/>
      </c>
      <c r="D18" s="15">
        <f>SUM(D4:D17)</f>
        <v/>
      </c>
      <c r="E18" s="15">
        <f>SUM(E4:E17)</f>
        <v/>
      </c>
      <c r="F18" s="15">
        <f>SUM(F4:F17)</f>
        <v/>
      </c>
      <c r="G18" s="15">
        <f>SUM(G4:G17)</f>
        <v/>
      </c>
      <c r="H18" s="16">
        <f>IF((D18+E18)=0,"-",D18/(D18+E18))</f>
        <v/>
      </c>
    </row>
    <row r="21">
      <c r="A21" s="3" t="inlineStr">
        <is>
          <t>일일 트리아지</t>
        </is>
      </c>
    </row>
    <row r="22">
      <c r="A22" s="9" t="inlineStr">
        <is>
          <t>날짜</t>
        </is>
      </c>
      <c r="B22" s="9" t="inlineStr">
        <is>
          <t>신규 이슈</t>
        </is>
      </c>
      <c r="C22" s="9" t="inlineStr">
        <is>
          <t>미해결</t>
        </is>
      </c>
      <c r="D22" s="9" t="inlineStr">
        <is>
          <t>수정 완료</t>
        </is>
      </c>
      <c r="E22" s="9" t="inlineStr">
        <is>
          <t>재테스트</t>
        </is>
      </c>
      <c r="F22" s="9" t="inlineStr">
        <is>
          <t>보류</t>
        </is>
      </c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</sheetData>
  <mergeCells count="1">
    <mergeCell ref="A1:H1"/>
  </mergeCells>
  <conditionalFormatting sqref="H4:H18">
    <cfRule type="cellIs" priority="1" operator="greaterThanOrEqual" dxfId="0">
      <formula>0.95</formula>
    </cfRule>
    <cfRule type="cellIs" priority="2" operator="lessThan" dxfId="1">
      <formula>0.90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2026-04-16T15:42:32Z</dcterms:created>
  <dcterms:modified xmlns:dcterms="http://purl.org/dc/terms/" xmlns:xsi="http://www.w3.org/2001/XMLSchema-instance" xsi:type="dcterms:W3CDTF">2026-04-16T15:42:32Z</dcterms:modified>
</cp:coreProperties>
</file>