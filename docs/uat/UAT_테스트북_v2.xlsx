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인사관리" sheetId="2" state="visible" r:id="rId2"/>
    <sheet xmlns:r="http://schemas.openxmlformats.org/officeDocument/2006/relationships" name="출퇴근" sheetId="3" state="visible" r:id="rId3"/>
    <sheet xmlns:r="http://schemas.openxmlformats.org/officeDocument/2006/relationships" name="휴가관리" sheetId="4" state="visible" r:id="rId4"/>
    <sheet xmlns:r="http://schemas.openxmlformats.org/officeDocument/2006/relationships" name="휴직" sheetId="5" state="visible" r:id="rId5"/>
    <sheet xmlns:r="http://schemas.openxmlformats.org/officeDocument/2006/relationships" name="급여" sheetId="6" state="visible" r:id="rId6"/>
    <sheet xmlns:r="http://schemas.openxmlformats.org/officeDocument/2006/relationships" name="결재·승인" sheetId="7" state="visible" r:id="rId7"/>
    <sheet xmlns:r="http://schemas.openxmlformats.org/officeDocument/2006/relationships" name="마스터데이터·설정" sheetId="8" state="visible" r:id="rId8"/>
    <sheet xmlns:r="http://schemas.openxmlformats.org/officeDocument/2006/relationships" name="성과" sheetId="9" state="visible" r:id="rId9"/>
    <sheet xmlns:r="http://schemas.openxmlformats.org/officeDocument/2006/relationships" name="채용" sheetId="10" state="visible" r:id="rId10"/>
    <sheet xmlns:r="http://schemas.openxmlformats.org/officeDocument/2006/relationships" name="보상" sheetId="11" state="visible" r:id="rId11"/>
    <sheet xmlns:r="http://schemas.openxmlformats.org/officeDocument/2006/relationships" name="인사이트·분석" sheetId="12" state="visible" r:id="rId12"/>
    <sheet xmlns:r="http://schemas.openxmlformats.org/officeDocument/2006/relationships" name="온보딩·오프보딩" sheetId="13" state="visible" r:id="rId13"/>
    <sheet xmlns:r="http://schemas.openxmlformats.org/officeDocument/2006/relationships" name="규정준수" sheetId="14" state="visible" r:id="rId14"/>
    <sheet xmlns:r="http://schemas.openxmlformats.org/officeDocument/2006/relationships" name="My Space" sheetId="15" state="visible" r:id="rId15"/>
    <sheet xmlns:r="http://schemas.openxmlformats.org/officeDocument/2006/relationships" name="V2 홈" sheetId="16" state="visible" r:id="rId16"/>
    <sheet xmlns:r="http://schemas.openxmlformats.org/officeDocument/2006/relationships" name="알림" sheetId="17" state="visible" r:id="rId17"/>
    <sheet xmlns:r="http://schemas.openxmlformats.org/officeDocument/2006/relationships" name="엣지케이스" sheetId="18" state="visible" r:id="rId18"/>
    <sheet xmlns:r="http://schemas.openxmlformats.org/officeDocument/2006/relationships" name="집계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Malgun Gothic"/>
      <b val="1"/>
      <color rgb="001F4E78"/>
      <sz val="14"/>
    </font>
    <font>
      <name val="Malgun Gothic"/>
      <sz val="11"/>
    </font>
    <font>
      <name val="Malgun Gothic"/>
      <b val="1"/>
      <color rgb="001F4E78"/>
      <sz val="11"/>
    </font>
    <font>
      <name val="Malgun Gothic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4" fillId="2" borderId="1" pivotButton="0" quotePrefix="0" xfId="0"/>
    <xf numFmtId="164" fontId="4" fillId="2" borderId="1" pivotButton="0" quotePrefix="0" xfId="0"/>
  </cellXfs>
  <cellStyles count="1">
    <cellStyle name="Normal" xfId="0" builtinId="0" hidden="0"/>
  </cellStyles>
  <dxfs count="3">
    <dxf>
      <font>
        <name val="Malgun Gothic"/>
        <color rgb="00006100"/>
        <sz val="11"/>
      </font>
      <fill>
        <patternFill patternType="solid">
          <fgColor rgb="00C6EFCE"/>
        </patternFill>
      </fill>
    </dxf>
    <dxf>
      <font>
        <name val="Malgun Gothic"/>
        <color rgb="009C0006"/>
        <sz val="11"/>
      </font>
      <fill>
        <patternFill patternType="solid">
          <fgColor rgb="00FFC7CE"/>
        </patternFill>
      </fill>
    </dxf>
    <dxf>
      <font>
        <name val="Malgun Gothic"/>
        <color rgb="009C5700"/>
        <sz val="11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6A6A6"/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CTR HR Hub UAT 테스트북 v2 사용법</t>
        </is>
      </c>
    </row>
    <row r="2">
      <c r="A2" s="2" t="inlineStr"/>
    </row>
    <row r="3">
      <c r="A3" s="3" t="inlineStr">
        <is>
          <t>1. 문서 구성</t>
        </is>
      </c>
    </row>
    <row r="4">
      <c r="A4" s="2" t="inlineStr">
        <is>
          <t>이 테스트북은 두 가지 포맷으로 구성되어 있습니다.</t>
        </is>
      </c>
    </row>
    <row r="5">
      <c r="A5" s="2" t="inlineStr">
        <is>
          <t xml:space="preserve">  - 시나리오 (파란 탭): 단계별 비즈니스 플로우를 따라가며 검증합니다. 한 시나리오 안에서 여러 역할이 참여합니다.</t>
        </is>
      </c>
    </row>
    <row r="6">
      <c r="A6" s="2" t="inlineStr">
        <is>
          <t xml:space="preserve">  - 체크리스트 (초록 탭): 기능 단위로 빠르게 존재 여부와 동작을 확인합니다.</t>
        </is>
      </c>
    </row>
    <row r="7">
      <c r="A7" s="2" t="inlineStr">
        <is>
          <t xml:space="preserve">  - 신규 기능은 노란색 배경으로 강조됩니다.</t>
        </is>
      </c>
    </row>
    <row r="8">
      <c r="A8" s="2" t="inlineStr"/>
    </row>
    <row r="9">
      <c r="A9" s="3" t="inlineStr">
        <is>
          <t>2. 시나리오 시트 컬럼 설명</t>
        </is>
      </c>
    </row>
    <row r="10">
      <c r="A10" s="2" t="inlineStr">
        <is>
          <t xml:space="preserve">  A. Step#  — 순서 번호</t>
        </is>
      </c>
    </row>
    <row r="11">
      <c r="A11" s="2" t="inlineStr">
        <is>
          <t xml:space="preserve">  B. 비즈니스 목적  — 이 단계가 왜 중요한지 (비즈니스 관점)</t>
        </is>
      </c>
    </row>
    <row r="12">
      <c r="A12" s="2" t="inlineStr">
        <is>
          <t xml:space="preserve">  C. 테스터 역할  — 어떤 계정으로 로그인해야 하는지</t>
        </is>
      </c>
    </row>
    <row r="13">
      <c r="A13" s="2" t="inlineStr">
        <is>
          <t xml:space="preserve">  D. 전제조건  — 이 단계 실행 전에 완료되어야 할 것</t>
        </is>
      </c>
    </row>
    <row r="14">
      <c r="A14" s="2" t="inlineStr">
        <is>
          <t xml:space="preserve">  E. 테스트 데이터  — 입력할 구체적인 데이터</t>
        </is>
      </c>
    </row>
    <row r="15">
      <c r="A15" s="2" t="inlineStr">
        <is>
          <t xml:space="preserve">  F. 수행 액션  — 실제로 할 행동 (한국어 단계별 설명)</t>
        </is>
      </c>
    </row>
    <row r="16">
      <c r="A16" s="2" t="inlineStr">
        <is>
          <t xml:space="preserve">  G. 기대되는 비즈니스 결과  — 정상일 때 화면에 보여야 할 것</t>
        </is>
      </c>
    </row>
    <row r="17">
      <c r="A17" s="2" t="inlineStr">
        <is>
          <t xml:space="preserve">  H. 실제 결과  — 테스터가 직접 기록</t>
        </is>
      </c>
    </row>
    <row r="18">
      <c r="A18" s="2" t="inlineStr">
        <is>
          <t xml:space="preserve">  I. Pass/Fail/Block  — 드롭다운으로 선택</t>
        </is>
      </c>
    </row>
    <row r="19">
      <c r="A19" s="2" t="inlineStr">
        <is>
          <t xml:space="preserve">  J. 이슈ID  — Fail/Block 시 이슈 추적 번호 (예: FB-007)</t>
        </is>
      </c>
    </row>
    <row r="20">
      <c r="A20" s="2" t="inlineStr">
        <is>
          <t xml:space="preserve">  K. 비고  — 추가 메모</t>
        </is>
      </c>
    </row>
    <row r="21">
      <c r="A21" s="2" t="inlineStr"/>
    </row>
    <row r="22">
      <c r="A22" s="3" t="inlineStr">
        <is>
          <t>3. 체크리스트 시트 컬럼 설명</t>
        </is>
      </c>
    </row>
    <row r="23">
      <c r="A23" s="2" t="inlineStr">
        <is>
          <t xml:space="preserve">  A. #  — 순서 번호</t>
        </is>
      </c>
    </row>
    <row r="24">
      <c r="A24" s="2" t="inlineStr">
        <is>
          <t xml:space="preserve">  B. 기능  — 대분류 기능명</t>
        </is>
      </c>
    </row>
    <row r="25">
      <c r="A25" s="2" t="inlineStr">
        <is>
          <t xml:space="preserve">  C. 세부기능  — 구체적 페이지 또는 기능</t>
        </is>
      </c>
    </row>
    <row r="26">
      <c r="A26" s="2" t="inlineStr">
        <is>
          <t xml:space="preserve">  D. 테스트 계정  — 확인에 사용할 계정</t>
        </is>
      </c>
    </row>
    <row r="27">
      <c r="A27" s="2" t="inlineStr">
        <is>
          <t xml:space="preserve">  E. 확인  — Y(확인) / N(미확인) / NA(해당없음)</t>
        </is>
      </c>
    </row>
    <row r="28">
      <c r="A28" s="2" t="inlineStr">
        <is>
          <t xml:space="preserve">  F. 심각도  — N인 경우만: Critical / Major / Minor / 개선</t>
        </is>
      </c>
    </row>
    <row r="29">
      <c r="A29" s="2" t="inlineStr">
        <is>
          <t xml:space="preserve">  G. 테스터  — 확인한 사람</t>
        </is>
      </c>
    </row>
    <row r="30">
      <c r="A30" s="2" t="inlineStr">
        <is>
          <t xml:space="preserve">  H. 날짜  — 확인 날짜</t>
        </is>
      </c>
    </row>
    <row r="31">
      <c r="A31" s="2" t="inlineStr">
        <is>
          <t xml:space="preserve">  I. 비고  — 추가 메모</t>
        </is>
      </c>
    </row>
    <row r="32">
      <c r="A32" s="2" t="inlineStr"/>
    </row>
    <row r="33">
      <c r="A33" s="3" t="inlineStr">
        <is>
          <t>4. 색상 범례</t>
        </is>
      </c>
    </row>
    <row r="34">
      <c r="A34" s="2" t="inlineStr">
        <is>
          <t xml:space="preserve">  Pass (녹색)  — 테스트 통과, 기대 결과와 일치</t>
        </is>
      </c>
    </row>
    <row r="35">
      <c r="A35" s="2" t="inlineStr">
        <is>
          <t xml:space="preserve">  Fail (빨간색)  — 테스트 실패, 기대 결과와 불일치 (이슈ID 필수 기록)</t>
        </is>
      </c>
    </row>
    <row r="36">
      <c r="A36" s="2" t="inlineStr">
        <is>
          <t xml:space="preserve">  Block (노란색)  — 차단, 선행 조건 미충족으로 테스트 불가</t>
        </is>
      </c>
    </row>
    <row r="37">
      <c r="A37" s="2" t="inlineStr">
        <is>
          <t xml:space="preserve">  N/A (회색)  — 해당 없음, 현재 환경에서 테스트 불가</t>
        </is>
      </c>
    </row>
    <row r="38">
      <c r="A38" s="2" t="inlineStr">
        <is>
          <t xml:space="preserve">  노란 배경 행  — v1 대비 신규 추가된 기능 (Sessions 168~217 추가분)</t>
        </is>
      </c>
    </row>
    <row r="39">
      <c r="A39" s="2" t="inlineStr"/>
    </row>
    <row r="40">
      <c r="A40" s="3" t="inlineStr">
        <is>
          <t>5. 테스트 계정 (9개)</t>
        </is>
      </c>
    </row>
    <row r="41">
      <c r="A41" s="2" t="inlineStr">
        <is>
          <t xml:space="preserve">  대조영 — super@ctr.co.kr — SUPER_ADMIN — CTR-HOLD</t>
        </is>
      </c>
    </row>
    <row r="42">
      <c r="A42" s="2" t="inlineStr">
        <is>
          <t xml:space="preserve">  한지영 — hr@ctr.co.kr — HR_ADMIN — CTR</t>
        </is>
      </c>
    </row>
    <row r="43">
      <c r="A43" s="2" t="inlineStr">
        <is>
          <t xml:space="preserve">  陈美玲 — hr@ctr-cn.com — HR_ADMIN — CTR-CN</t>
        </is>
      </c>
    </row>
    <row r="44">
      <c r="A44" s="2" t="inlineStr">
        <is>
          <t xml:space="preserve">  박준혁 — manager@ctr.co.kr — MANAGER — CTR (QA-TEAM-A)</t>
        </is>
      </c>
    </row>
    <row r="45">
      <c r="A45" s="2" t="inlineStr">
        <is>
          <t xml:space="preserve">  김서연 — manager2@ctr.co.kr — MANAGER — CTR (QA-TEAM-B)</t>
        </is>
      </c>
    </row>
    <row r="46">
      <c r="A46" s="2" t="inlineStr">
        <is>
          <t xml:space="preserve">  이민준 — employee-a@ctr.co.kr — EMPLOYEE — CTR (QA-TEAM-A, → 박준혁)</t>
        </is>
      </c>
    </row>
    <row r="47">
      <c r="A47" s="2" t="inlineStr">
        <is>
          <t xml:space="preserve">  정다은 — employee-b@ctr.co.kr — EMPLOYEE — CTR (QA-TEAM-A, → 박준혁)</t>
        </is>
      </c>
    </row>
    <row r="48">
      <c r="A48" s="2" t="inlineStr">
        <is>
          <t xml:space="preserve">  송현우 — employee-c@ctr.co.kr — EMPLOYEE — CTR (QA-TEAM-B, → 김서연)</t>
        </is>
      </c>
    </row>
    <row r="49">
      <c r="A49" s="2" t="inlineStr">
        <is>
          <t xml:space="preserve">  강대표 — executive@ctr.co.kr — EXECUTIVE — CTR (E1)</t>
        </is>
      </c>
    </row>
    <row r="50">
      <c r="A50" s="2" t="inlineStr"/>
    </row>
    <row r="51">
      <c r="A51" s="3" t="inlineStr">
        <is>
          <t>6. 직급 체계 (Session 167 전환 반영)</t>
        </is>
      </c>
    </row>
    <row r="52">
      <c r="A52" s="2" t="inlineStr">
        <is>
          <t xml:space="preserve">  국내 (4단계): E1 (임원), S1 (수석), L2 (책임), L1 (선임/사원)</t>
        </is>
      </c>
    </row>
    <row r="53">
      <c r="A53" s="2" t="inlineStr">
        <is>
          <t xml:space="preserve">  해외 (7단계): L1~L5, S1, E1</t>
        </is>
      </c>
    </row>
    <row r="54">
      <c r="A54" s="2" t="inlineStr"/>
    </row>
    <row r="55">
      <c r="A55" s="3" t="inlineStr">
        <is>
          <t>7. 주의사항</t>
        </is>
      </c>
    </row>
    <row r="56">
      <c r="A56" s="2" t="inlineStr">
        <is>
          <t xml:space="preserve">  - 이 문서는 E2E 자동 테스트와 다릅니다 — 비즈니스 결과를 확인하세요.</t>
        </is>
      </c>
    </row>
    <row r="57">
      <c r="A57" s="2" t="inlineStr">
        <is>
          <t xml:space="preserve">  - 시나리오 시트는 반드시 Step 순서대로 실행하세요 (선행 단계의 결과가 다음 단계의 전제조건입니다).</t>
        </is>
      </c>
    </row>
    <row r="58">
      <c r="A58" s="2" t="inlineStr">
        <is>
          <t xml:space="preserve">  - 체크리스트 시트는 순서 무관하게 독립적으로 확인할 수 있습니다.</t>
        </is>
      </c>
    </row>
    <row r="59">
      <c r="A59" s="2" t="inlineStr">
        <is>
          <t xml:space="preserve">  - UAT는 staging 환경 전용입니다 (운영 환경 prod는 SSO-only — Session 212 이후).</t>
        </is>
      </c>
    </row>
    <row r="60">
      <c r="A60" s="2" t="inlineStr">
        <is>
          <t xml:space="preserve">  - 테스트 계정 비밀번호 불필요: NEXT_PUBLIC_SHOW_TEST_ACCOUNTS=true 활성화된 staging URL에 카드 클릭만으로 로그인.</t>
        </is>
      </c>
    </row>
    <row r="61">
      <c r="A61" s="2" t="inlineStr">
        <is>
          <t xml:space="preserve">  - 집계 시트에서 전체 진행률을 확인할 수 있습니다 (COUNTIFS 수식 자동 집계).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5" t="n">
        <v>1</v>
      </c>
      <c r="B2" s="5" t="inlineStr">
        <is>
          <t>직원 목록 조회</t>
        </is>
      </c>
      <c r="C2" s="5" t="inlineStr">
        <is>
          <t>HR_ADMIN (hr@ctr.co.kr)</t>
        </is>
      </c>
      <c r="D2" s="5" t="inlineStr">
        <is>
          <t>로그인 완료</t>
        </is>
      </c>
      <c r="E2" s="5" t="inlineStr"/>
      <c r="F2" s="5" t="inlineStr">
        <is>
          <t>좌측 메뉴 &gt; 인사관리 &gt; 직원 관리 클릭</t>
        </is>
      </c>
      <c r="G2" s="5" t="inlineStr">
        <is>
          <t>직원 목록 페이지가 로드되고 CTR 법인 소속 직원이 표시됨</t>
        </is>
      </c>
      <c r="H2" s="6" t="n"/>
      <c r="I2" s="6" t="n"/>
      <c r="J2" s="6" t="n"/>
      <c r="K2" s="6" t="n"/>
    </row>
    <row r="3" ht="60" customHeight="1">
      <c r="A3" s="5" t="n">
        <v>2</v>
      </c>
      <c r="B3" s="5" t="inlineStr">
        <is>
          <t>직원 목록 필터링</t>
        </is>
      </c>
      <c r="C3" s="5" t="inlineStr">
        <is>
          <t>HR_ADMIN</t>
        </is>
      </c>
      <c r="D3" s="5" t="inlineStr">
        <is>
          <t>Step 1 완료</t>
        </is>
      </c>
      <c r="E3" s="5" t="inlineStr">
        <is>
          <t>부서: QA-TEAM-A</t>
        </is>
      </c>
      <c r="F3" s="5" t="inlineStr">
        <is>
          <t>필터 영역에서 부서를 "QA-TEAM-A"로 선택</t>
        </is>
      </c>
      <c r="G3" s="5" t="inlineStr">
        <is>
          <t>해당 부서 소속 직원(박준혁/이민준/정다은)만 표시됨</t>
        </is>
      </c>
      <c r="H3" s="6" t="n"/>
      <c r="I3" s="6" t="n"/>
      <c r="J3" s="6" t="n"/>
      <c r="K3" s="6" t="n"/>
    </row>
    <row r="4" ht="60" customHeight="1">
      <c r="A4" s="5" t="n">
        <v>3</v>
      </c>
      <c r="B4" s="5" t="inlineStr">
        <is>
          <t>직원 검색 (이름)</t>
        </is>
      </c>
      <c r="C4" s="5" t="inlineStr">
        <is>
          <t>HR_ADMIN</t>
        </is>
      </c>
      <c r="D4" s="5" t="inlineStr">
        <is>
          <t>Step 1 완료</t>
        </is>
      </c>
      <c r="E4" s="5" t="inlineStr">
        <is>
          <t>검색어: 이민준</t>
        </is>
      </c>
      <c r="F4" s="5" t="inlineStr">
        <is>
          <t>검색창에 "이민준" 입력</t>
        </is>
      </c>
      <c r="G4" s="5" t="inlineStr">
        <is>
          <t>이민준 직원이 검색 결과에 표시됨</t>
        </is>
      </c>
      <c r="H4" s="6" t="n"/>
      <c r="I4" s="6" t="n"/>
      <c r="J4" s="6" t="n"/>
      <c r="K4" s="6" t="n"/>
    </row>
    <row r="5" ht="60" customHeight="1">
      <c r="A5" s="5" t="n">
        <v>4</v>
      </c>
      <c r="B5" s="5" t="inlineStr">
        <is>
          <t>직원 검색 (사번)</t>
        </is>
      </c>
      <c r="C5" s="5" t="inlineStr">
        <is>
          <t>HR_ADMIN</t>
        </is>
      </c>
      <c r="D5" s="5" t="inlineStr">
        <is>
          <t>Step 1 완료</t>
        </is>
      </c>
      <c r="E5" s="5" t="inlineStr">
        <is>
          <t>검색어: EDGE-001</t>
        </is>
      </c>
      <c r="F5" s="5" t="inlineStr">
        <is>
          <t>검색창에 "EDGE-001" 입력</t>
        </is>
      </c>
      <c r="G5" s="5" t="inlineStr">
        <is>
          <t>김수습(EDGE-001) 직원이 검색 결과에 표시됨</t>
        </is>
      </c>
      <c r="H5" s="6" t="n"/>
      <c r="I5" s="6" t="n"/>
      <c r="J5" s="6" t="n"/>
      <c r="K5" s="6" t="n"/>
    </row>
    <row r="6" ht="60" customHeight="1">
      <c r="A6" s="5" t="n">
        <v>5</v>
      </c>
      <c r="B6" s="5" t="inlineStr">
        <is>
          <t>신규 직원 등록 시작</t>
        </is>
      </c>
      <c r="C6" s="5" t="inlineStr">
        <is>
          <t>HR_ADMIN</t>
        </is>
      </c>
      <c r="D6" s="5" t="inlineStr">
        <is>
          <t>Step 1 완료</t>
        </is>
      </c>
      <c r="E6" s="5" t="inlineStr"/>
      <c r="F6" s="5" t="inlineStr">
        <is>
          <t>직원 목록 페이지에서 "신규 등록" 버튼 클릭</t>
        </is>
      </c>
      <c r="G6" s="5" t="inlineStr">
        <is>
          <t>신규 직원 등록 폼이 표시됨</t>
        </is>
      </c>
      <c r="H6" s="6" t="n"/>
      <c r="I6" s="6" t="n"/>
      <c r="J6" s="6" t="n"/>
      <c r="K6" s="6" t="n"/>
    </row>
    <row r="7" ht="60" customHeight="1">
      <c r="A7" s="5" t="n">
        <v>6</v>
      </c>
      <c r="B7" s="5" t="inlineStr">
        <is>
          <t>신규 직원 정보 입력</t>
        </is>
      </c>
      <c r="C7" s="5" t="inlineStr">
        <is>
          <t>HR_ADMIN</t>
        </is>
      </c>
      <c r="D7" s="5" t="inlineStr">
        <is>
          <t>Step 5 완료</t>
        </is>
      </c>
      <c r="E7" s="5" t="inlineStr">
        <is>
          <t>이름: 테스트직원, 부서: QA-TEAM-A, 직급: L1, 입사일: 2026-05-15</t>
        </is>
      </c>
      <c r="F7" s="5" t="inlineStr">
        <is>
          <t>필수 필드(이름, 부서, 직급, 입사일, 고용형태) 입력 후 저장</t>
        </is>
      </c>
      <c r="G7" s="5" t="inlineStr">
        <is>
          <t>직원이 성공적으로 등록되고 상세 페이지로 이동</t>
        </is>
      </c>
      <c r="H7" s="6" t="n"/>
      <c r="I7" s="6" t="n"/>
      <c r="J7" s="6" t="n"/>
      <c r="K7" s="6" t="n"/>
    </row>
    <row r="8" ht="60" customHeight="1">
      <c r="A8" s="5" t="n">
        <v>7</v>
      </c>
      <c r="B8" s="5" t="inlineStr">
        <is>
          <t>등록된 직원 상세 조회</t>
        </is>
      </c>
      <c r="C8" s="5" t="inlineStr">
        <is>
          <t>HR_ADMIN</t>
        </is>
      </c>
      <c r="D8" s="5" t="inlineStr">
        <is>
          <t>Step 6 완료</t>
        </is>
      </c>
      <c r="E8" s="5" t="inlineStr"/>
      <c r="F8" s="5" t="inlineStr">
        <is>
          <t>등록된 직원 상세 페이지에서 기본정보 탭 확인</t>
        </is>
      </c>
      <c r="G8" s="5" t="inlineStr">
        <is>
          <t>입력한 이름, 부서, 직급, 입사일이 정확히 표시됨</t>
        </is>
      </c>
      <c r="H8" s="6" t="n"/>
      <c r="I8" s="6" t="n"/>
      <c r="J8" s="6" t="n"/>
      <c r="K8" s="6" t="n"/>
    </row>
    <row r="9" ht="60" customHeight="1">
      <c r="A9" s="5" t="n">
        <v>8</v>
      </c>
      <c r="B9" s="5" t="inlineStr">
        <is>
          <t>직원 정보 수정</t>
        </is>
      </c>
      <c r="C9" s="5" t="inlineStr">
        <is>
          <t>HR_ADMIN</t>
        </is>
      </c>
      <c r="D9" s="5" t="inlineStr">
        <is>
          <t>Step 7 완료</t>
        </is>
      </c>
      <c r="E9" s="5" t="inlineStr">
        <is>
          <t>변경할 연락처: 010-9999-0000</t>
        </is>
      </c>
      <c r="F9" s="5" t="inlineStr">
        <is>
          <t>수정 버튼 클릭 &gt; 연락처 변경 &gt; 저장</t>
        </is>
      </c>
      <c r="G9" s="5" t="inlineStr">
        <is>
          <t>연락처가 변경된 값으로 표시됨</t>
        </is>
      </c>
      <c r="H9" s="6" t="n"/>
      <c r="I9" s="6" t="n"/>
      <c r="J9" s="6" t="n"/>
      <c r="K9" s="6" t="n"/>
    </row>
    <row r="10" ht="60" customHeight="1">
      <c r="A10" s="5" t="n">
        <v>9</v>
      </c>
      <c r="B10" s="5" t="inlineStr">
        <is>
          <t>인사 이력 확인</t>
        </is>
      </c>
      <c r="C10" s="5" t="inlineStr">
        <is>
          <t>HR_ADMIN</t>
        </is>
      </c>
      <c r="D10" s="5" t="inlineStr">
        <is>
          <t>Step 7 완료</t>
        </is>
      </c>
      <c r="E10" s="5" t="inlineStr"/>
      <c r="F10" s="5" t="inlineStr">
        <is>
          <t>직원 상세 &gt; 발령 이력 탭 클릭</t>
        </is>
      </c>
      <c r="G10" s="5" t="inlineStr">
        <is>
          <t>해당 직원의 발령/이동 이력이 시간순으로 표시됨</t>
        </is>
      </c>
      <c r="H10" s="6" t="n"/>
      <c r="I10" s="6" t="n"/>
      <c r="J10" s="6" t="n"/>
      <c r="K10" s="6" t="n"/>
    </row>
    <row r="11" ht="60" customHeight="1">
      <c r="A11" s="5" t="n">
        <v>10</v>
      </c>
      <c r="B11" s="5" t="inlineStr">
        <is>
          <t>조직도 조회</t>
        </is>
      </c>
      <c r="C11" s="5" t="inlineStr">
        <is>
          <t>HR_ADMIN</t>
        </is>
      </c>
      <c r="D11" s="5" t="inlineStr">
        <is>
          <t>로그인 완료</t>
        </is>
      </c>
      <c r="E11" s="5" t="inlineStr"/>
      <c r="F11" s="5" t="inlineStr">
        <is>
          <t>좌측 메뉴 &gt; 인사관리 &gt; 조직 관리 클릭</t>
        </is>
      </c>
      <c r="G11" s="5" t="inlineStr">
        <is>
          <t>조직도가 트리 구조로 표시되고 보고 라인이 정확함</t>
        </is>
      </c>
      <c r="H11" s="6" t="n"/>
      <c r="I11" s="6" t="n"/>
      <c r="J11" s="6" t="n"/>
      <c r="K11" s="6" t="n"/>
    </row>
    <row r="12" ht="60" customHeight="1">
      <c r="A12" s="5" t="n">
        <v>11</v>
      </c>
      <c r="B12" s="5" t="inlineStr">
        <is>
          <t>디렉토리 조회</t>
        </is>
      </c>
      <c r="C12" s="5" t="inlineStr">
        <is>
          <t>HR_ADMIN</t>
        </is>
      </c>
      <c r="D12" s="5" t="inlineStr">
        <is>
          <t>로그인 완료</t>
        </is>
      </c>
      <c r="E12" s="5" t="inlineStr"/>
      <c r="F12" s="5" t="inlineStr">
        <is>
          <t>좌측 메뉴 &gt; 디렉토리 클릭</t>
        </is>
      </c>
      <c r="G12" s="5" t="inlineStr">
        <is>
          <t>전체 직원 디렉토리가 카드/리스트 형태로 표시됨</t>
        </is>
      </c>
      <c r="H12" s="6" t="n"/>
      <c r="I12" s="6" t="n"/>
      <c r="J12" s="6" t="n"/>
      <c r="K12" s="6" t="n"/>
    </row>
    <row r="13" ht="60" customHeight="1">
      <c r="A13" s="5" t="n">
        <v>12</v>
      </c>
      <c r="B13" s="5" t="inlineStr">
        <is>
          <t>근로계약서 확인</t>
        </is>
      </c>
      <c r="C13" s="5" t="inlineStr">
        <is>
          <t>HR_ADMIN</t>
        </is>
      </c>
      <c r="D13" s="5" t="inlineStr">
        <is>
          <t>Step 7 완료</t>
        </is>
      </c>
      <c r="E13" s="5" t="inlineStr"/>
      <c r="F13" s="5" t="inlineStr">
        <is>
          <t>직원 상세 &gt; 계약 탭 클릭</t>
        </is>
      </c>
      <c r="G13" s="5" t="inlineStr">
        <is>
          <t>근로계약서 정보가 표시됨 (계약 유형, 기간 등)</t>
        </is>
      </c>
      <c r="H13" s="6" t="n"/>
      <c r="I13" s="6" t="n"/>
      <c r="J13" s="6" t="n"/>
      <c r="K13" s="6" t="n"/>
    </row>
    <row r="14" ht="60" customHeight="1">
      <c r="A14" s="5" t="n">
        <v>13</v>
      </c>
      <c r="B14" s="5" t="inlineStr">
        <is>
          <t>수습 직원 조회</t>
        </is>
      </c>
      <c r="C14" s="5" t="inlineStr">
        <is>
          <t>HR_ADMIN</t>
        </is>
      </c>
      <c r="D14" s="5" t="inlineStr">
        <is>
          <t>EDGE-001 시드 데이터 존재</t>
        </is>
      </c>
      <c r="E14" s="5" t="inlineStr">
        <is>
          <t>김수습 (EDGE-001)</t>
        </is>
      </c>
      <c r="F14" s="5" t="inlineStr">
        <is>
          <t>직원 목록에서 수습 상태 필터 적용</t>
        </is>
      </c>
      <c r="G14" s="5" t="inlineStr">
        <is>
          <t>김수습이 수습 배지와 함께 표시되고 수습 만료일(2026-06-01)이 확인됨</t>
        </is>
      </c>
      <c r="H14" s="6" t="n"/>
      <c r="I14" s="6" t="n"/>
      <c r="J14" s="6" t="n"/>
      <c r="K14" s="6" t="n"/>
    </row>
    <row r="15" ht="60" customHeight="1">
      <c r="A15" s="5" t="n">
        <v>14</v>
      </c>
      <c r="B15" s="5" t="inlineStr">
        <is>
          <t>수습 만료 직원 경고</t>
        </is>
      </c>
      <c r="C15" s="5" t="inlineStr">
        <is>
          <t>HR_ADMIN</t>
        </is>
      </c>
      <c r="D15" s="5" t="inlineStr">
        <is>
          <t>EDGE-002 시드 데이터 존재</t>
        </is>
      </c>
      <c r="E15" s="5" t="inlineStr">
        <is>
          <t>박만료 (EDGE-002)</t>
        </is>
      </c>
      <c r="F15" s="5" t="inlineStr">
        <is>
          <t>직원 목록에서 박만료 검색</t>
        </is>
      </c>
      <c r="G15" s="5" t="inlineStr">
        <is>
          <t>수습 기간 만료 경고가 표시됨 (만료일 2026-01-01 이미 지남)</t>
        </is>
      </c>
      <c r="H15" s="6" t="n"/>
      <c r="I15" s="6" t="n"/>
      <c r="J15" s="6" t="n"/>
      <c r="K15" s="6" t="n"/>
    </row>
    <row r="16" ht="60" customHeight="1">
      <c r="A16" s="5" t="n">
        <v>15</v>
      </c>
      <c r="B16" s="5" t="inlineStr">
        <is>
          <t>계약직 만료 예정자 확인</t>
        </is>
      </c>
      <c r="C16" s="5" t="inlineStr">
        <is>
          <t>HR_ADMIN</t>
        </is>
      </c>
      <c r="D16" s="5" t="inlineStr">
        <is>
          <t>EDGE-003 시드 데이터 존재</t>
        </is>
      </c>
      <c r="E16" s="5" t="inlineStr">
        <is>
          <t>이계약 (EDGE-003)</t>
        </is>
      </c>
      <c r="F16" s="5" t="inlineStr">
        <is>
          <t>직원 목록 또는 대시보드에서 계약 만료 예정자 확인</t>
        </is>
      </c>
      <c r="G16" s="5" t="inlineStr">
        <is>
          <t>이계약의 계약 만료 임박(D-30) 알림 또는 배지가 표시됨</t>
        </is>
      </c>
      <c r="H16" s="6" t="n"/>
      <c r="I16" s="6" t="n"/>
      <c r="J16" s="6" t="n"/>
      <c r="K16" s="6" t="n"/>
    </row>
    <row r="17" ht="60" customHeight="1">
      <c r="A17" s="5" t="n">
        <v>16</v>
      </c>
      <c r="B17" s="5" t="inlineStr">
        <is>
          <t>계약 만료 직원 상태</t>
        </is>
      </c>
      <c r="C17" s="5" t="inlineStr">
        <is>
          <t>HR_ADMIN</t>
        </is>
      </c>
      <c r="D17" s="5" t="inlineStr">
        <is>
          <t>EDGE-004 시드 데이터 존재</t>
        </is>
      </c>
      <c r="E17" s="5" t="inlineStr">
        <is>
          <t>최만기 (EDGE-004)</t>
        </is>
      </c>
      <c r="F17" s="5" t="inlineStr">
        <is>
          <t>직원 목록에서 최만기 검색</t>
        </is>
      </c>
      <c r="G17" s="5" t="inlineStr">
        <is>
          <t>계약 만료 상태가 명확히 표시됨</t>
        </is>
      </c>
      <c r="H17" s="6" t="n"/>
      <c r="I17" s="6" t="n"/>
      <c r="J17" s="6" t="n"/>
      <c r="K17" s="6" t="n"/>
    </row>
    <row r="18" ht="60" customHeight="1">
      <c r="A18" s="5" t="n">
        <v>17</v>
      </c>
      <c r="B18" s="5" t="inlineStr">
        <is>
          <t>휴직자 목록 확인</t>
        </is>
      </c>
      <c r="C18" s="5" t="inlineStr">
        <is>
          <t>HR_ADMIN</t>
        </is>
      </c>
      <c r="D18" s="5" t="inlineStr">
        <is>
          <t>EDGE-005 시드 데이터 존재</t>
        </is>
      </c>
      <c r="E18" s="5" t="inlineStr">
        <is>
          <t>정육아 (EDGE-005)</t>
        </is>
      </c>
      <c r="F18" s="5" t="inlineStr">
        <is>
          <t>직원 목록에서 휴직 상태 필터 또는 휴가/휴직 관리 메뉴</t>
        </is>
      </c>
      <c r="G18" s="5" t="inlineStr">
        <is>
          <t>정육아가 육아휴직 상태로 표시되고 출퇴근/급여 대상에서 제외됨</t>
        </is>
      </c>
      <c r="H18" s="6" t="n"/>
      <c r="I18" s="6" t="n"/>
      <c r="J18" s="6" t="n"/>
      <c r="K18" s="6" t="n"/>
    </row>
    <row r="19" ht="60" customHeight="1">
      <c r="A19" s="5" t="n">
        <v>18</v>
      </c>
      <c r="B19" s="5" t="inlineStr">
        <is>
          <t>퇴사 처리 시작</t>
        </is>
      </c>
      <c r="C19" s="5" t="inlineStr">
        <is>
          <t>HR_ADMIN</t>
        </is>
      </c>
      <c r="D19" s="5" t="inlineStr">
        <is>
          <t>Step 7에서 등록한 직원 존재</t>
        </is>
      </c>
      <c r="E19" s="5" t="inlineStr">
        <is>
          <t>퇴사일: 2026-05-31, 사유: 자발적 퇴사</t>
        </is>
      </c>
      <c r="F19" s="5" t="inlineStr">
        <is>
          <t>직원 상세 &gt; 오프보딩 시작 &gt; 퇴사일과 사유 입력</t>
        </is>
      </c>
      <c r="G19" s="5" t="inlineStr">
        <is>
          <t>오프보딩 프로세스가 시작되고 상태가 "퇴사 예정"으로 변경됨</t>
        </is>
      </c>
      <c r="H19" s="6" t="n"/>
      <c r="I19" s="6" t="n"/>
      <c r="J19" s="6" t="n"/>
      <c r="K19" s="6" t="n"/>
    </row>
    <row r="20" ht="60" customHeight="1">
      <c r="A20" s="5" t="n">
        <v>19</v>
      </c>
      <c r="B20" s="5" t="inlineStr">
        <is>
          <t>퇴직 완료 직원 확인</t>
        </is>
      </c>
      <c r="C20" s="5" t="inlineStr">
        <is>
          <t>HR_ADMIN</t>
        </is>
      </c>
      <c r="D20" s="5" t="inlineStr">
        <is>
          <t>EDGE-008 시드 데이터 존재</t>
        </is>
      </c>
      <c r="E20" s="5" t="inlineStr">
        <is>
          <t>유퇴직 (EDGE-008)</t>
        </is>
      </c>
      <c r="F20" s="5" t="inlineStr">
        <is>
          <t>직원 목록에서 유퇴직 검색 (퇴사자 포함 필터)</t>
        </is>
      </c>
      <c r="G20" s="5" t="inlineStr">
        <is>
          <t>유퇴직이 "퇴직" 상태로 표시되고 활성 직원 목록에서는 제외됨</t>
        </is>
      </c>
      <c r="H20" s="6" t="n"/>
      <c r="I20" s="6" t="n"/>
      <c r="J20" s="6" t="n"/>
      <c r="K20" s="6" t="n"/>
    </row>
    <row r="21" ht="60" customHeight="1">
      <c r="A21" s="5" t="n">
        <v>20</v>
      </c>
      <c r="B21" s="5" t="inlineStr">
        <is>
          <t>EMPLOYEE 내 프로필 확인</t>
        </is>
      </c>
      <c r="C21" s="5" t="inlineStr">
        <is>
          <t>EMPLOYEE (employee-a@ctr.co.kr)</t>
        </is>
      </c>
      <c r="D21" s="5" t="inlineStr">
        <is>
          <t>로그인 완료</t>
        </is>
      </c>
      <c r="E21" s="5" t="inlineStr"/>
      <c r="F21" s="5" t="inlineStr">
        <is>
          <t>좌측 메뉴 &gt; 나의 공간 &gt; 내 프로필 클릭</t>
        </is>
      </c>
      <c r="G21" s="5" t="inlineStr">
        <is>
          <t>이민준의 프로필 정보(이름, 부서, 직급, 입사일)가 정확히 표시됨</t>
        </is>
      </c>
      <c r="H21" s="6" t="n"/>
      <c r="I21" s="6" t="n"/>
      <c r="J21" s="6" t="n"/>
      <c r="K21" s="6" t="n"/>
    </row>
    <row r="22" ht="60" customHeight="1">
      <c r="A22" s="5" t="n">
        <v>21</v>
      </c>
      <c r="B22" s="5" t="inlineStr">
        <is>
          <t>EMPLOYEE 타인 정보 접근 차단</t>
        </is>
      </c>
      <c r="C22" s="5" t="inlineStr">
        <is>
          <t>EMPLOYEE (employee-a@ctr.co.kr)</t>
        </is>
      </c>
      <c r="D22" s="5" t="inlineStr">
        <is>
          <t>Step 20 완료</t>
        </is>
      </c>
      <c r="E22" s="5" t="inlineStr">
        <is>
          <t>URL: /employees/[다른직원ID]</t>
        </is>
      </c>
      <c r="F22" s="5" t="inlineStr">
        <is>
          <t>브라우저 주소창에 다른 직원의 상세 페이지 URL 직접 입력</t>
        </is>
      </c>
      <c r="G22" s="5" t="inlineStr">
        <is>
          <t>403 접근 거부 또는 권한 없음 메시지가 표시됨</t>
        </is>
      </c>
      <c r="H22" s="6" t="n"/>
      <c r="I22" s="6" t="n"/>
      <c r="J22" s="6" t="n"/>
      <c r="K22" s="6" t="n"/>
    </row>
    <row r="23" ht="60" customHeight="1">
      <c r="A23" s="5" t="n">
        <v>22</v>
      </c>
      <c r="B23" s="5" t="inlineStr">
        <is>
          <t>MANAGER 팀원 목록 확인</t>
        </is>
      </c>
      <c r="C23" s="5" t="inlineStr">
        <is>
          <t>MANAGER (manager@ctr.co.kr)</t>
        </is>
      </c>
      <c r="D23" s="5" t="inlineStr">
        <is>
          <t>로그인 완료</t>
        </is>
      </c>
      <c r="E23" s="5" t="inlineStr"/>
      <c r="F23" s="5" t="inlineStr">
        <is>
          <t>좌측 메뉴 &gt; 팀 관리 &gt; 팀 현황 클릭</t>
        </is>
      </c>
      <c r="G23" s="5" t="inlineStr">
        <is>
          <t>박준혁 매니저의 직속 팀원(이민준, 정다은)만 표시됨</t>
        </is>
      </c>
      <c r="H23" s="6" t="n"/>
      <c r="I23" s="6" t="n"/>
      <c r="J23" s="6" t="n"/>
      <c r="K23" s="6" t="n"/>
    </row>
    <row r="24" ht="60" customHeight="1">
      <c r="A24" s="5" t="n">
        <v>23</v>
      </c>
      <c r="B24" s="5" t="inlineStr">
        <is>
          <t>부서 이동 발령</t>
        </is>
      </c>
      <c r="C24" s="5" t="inlineStr">
        <is>
          <t>HR_ADMIN</t>
        </is>
      </c>
      <c r="D24" s="5" t="inlineStr">
        <is>
          <t>Step 7 완료</t>
        </is>
      </c>
      <c r="E24" s="5" t="inlineStr">
        <is>
          <t>이동 대상: 테스트직원, 새 부서: QA-TEAM-B</t>
        </is>
      </c>
      <c r="F24" s="5" t="inlineStr">
        <is>
          <t>직원 상세 &gt; 발령 처리 &gt; 부서 이동 선택 &gt; 새 부서 지정 &gt; 확인</t>
        </is>
      </c>
      <c r="G24" s="5" t="inlineStr">
        <is>
          <t>발령 이력에 부서 이동이 기록되고 직원의 소속 부서가 변경됨</t>
        </is>
      </c>
      <c r="H24" s="6" t="n"/>
      <c r="I24" s="6" t="n"/>
      <c r="J24" s="6" t="n"/>
      <c r="K24" s="6" t="n"/>
    </row>
    <row r="25" ht="60" customHeight="1">
      <c r="A25" s="5" t="n">
        <v>24</v>
      </c>
      <c r="B25" s="5" t="inlineStr">
        <is>
          <t>직급 변경</t>
        </is>
      </c>
      <c r="C25" s="5" t="inlineStr">
        <is>
          <t>HR_ADMIN</t>
        </is>
      </c>
      <c r="D25" s="5" t="inlineStr">
        <is>
          <t>Step 23 완료</t>
        </is>
      </c>
      <c r="E25" s="5" t="inlineStr">
        <is>
          <t>새 직급: L2</t>
        </is>
      </c>
      <c r="F25" s="5" t="inlineStr">
        <is>
          <t>직원 상세 &gt; 발령 처리 &gt; 직급 변경 선택 &gt; L2 지정 &gt; 확인</t>
        </is>
      </c>
      <c r="G25" s="5" t="inlineStr">
        <is>
          <t>발령 이력에 직급 변경이 기록되고 직원의 직급이 L2로 변경됨</t>
        </is>
      </c>
      <c r="H25" s="6" t="n"/>
      <c r="I25" s="6" t="n"/>
      <c r="J25" s="6" t="n"/>
      <c r="K25" s="6" t="n"/>
    </row>
    <row r="26" ht="60" customHeight="1">
      <c r="A26" s="5" t="n">
        <v>25</v>
      </c>
      <c r="B26" s="5" t="inlineStr">
        <is>
          <t>겸직자 조회</t>
        </is>
      </c>
      <c r="C26" s="5" t="inlineStr">
        <is>
          <t>HR_ADMIN</t>
        </is>
      </c>
      <c r="D26" s="5" t="inlineStr">
        <is>
          <t>EDGE-009 시드 데이터 존재</t>
        </is>
      </c>
      <c r="E26" s="5" t="inlineStr">
        <is>
          <t>강겸직 (EDGE-009)</t>
        </is>
      </c>
      <c r="F26" s="5" t="inlineStr">
        <is>
          <t>직원 목록에서 강겸직 검색</t>
        </is>
      </c>
      <c r="G26" s="5" t="inlineStr">
        <is>
          <t>강겸직의 복수 법인 발령 정보가 모두 표시됨</t>
        </is>
      </c>
      <c r="H26" s="6" t="n"/>
      <c r="I26" s="6" t="n"/>
      <c r="J26" s="6" t="n"/>
      <c r="K26" s="6" t="n"/>
    </row>
    <row r="27" ht="60" customHeight="1">
      <c r="A27" s="5" t="n">
        <v>26</v>
      </c>
      <c r="B27" s="5" t="inlineStr">
        <is>
          <t>다직위자 조회</t>
        </is>
      </c>
      <c r="C27" s="5" t="inlineStr">
        <is>
          <t>HR_ADMIN</t>
        </is>
      </c>
      <c r="D27" s="5" t="inlineStr">
        <is>
          <t>EDGE-010 시드 데이터 존재</t>
        </is>
      </c>
      <c r="E27" s="5" t="inlineStr">
        <is>
          <t>임다직 (EDGE-010)</t>
        </is>
      </c>
      <c r="F27" s="5" t="inlineStr">
        <is>
          <t>직원 목록에서 임다직 검색 &gt; 상세 페이지 진입</t>
        </is>
      </c>
      <c r="G27" s="5" t="inlineStr">
        <is>
          <t>임다직의 3개 직위가 모두 표시됨</t>
        </is>
      </c>
      <c r="H27" s="6" t="n"/>
      <c r="I27" s="6" t="n"/>
      <c r="J27" s="6" t="n"/>
      <c r="K27" s="6" t="n"/>
    </row>
    <row r="28" ht="60" customHeight="1">
      <c r="A28" s="5" t="n">
        <v>27</v>
      </c>
      <c r="B28" s="5" t="inlineStr">
        <is>
          <t>매니저 없는 직원 확인</t>
        </is>
      </c>
      <c r="C28" s="5" t="inlineStr">
        <is>
          <t>HR_ADMIN</t>
        </is>
      </c>
      <c r="D28" s="5" t="inlineStr">
        <is>
          <t>EDGE-011 시드 데이터 존재</t>
        </is>
      </c>
      <c r="E28" s="5" t="inlineStr">
        <is>
          <t>윤대표 (EDGE-011)</t>
        </is>
      </c>
      <c r="F28" s="5" t="inlineStr">
        <is>
          <t>직원 상세에서 윤대표의 보고 라인 확인</t>
        </is>
      </c>
      <c r="G28" s="5" t="inlineStr">
        <is>
          <t>상위 보고자가 없음(최상위)으로 표시되며 오류 없이 동작</t>
        </is>
      </c>
      <c r="H28" s="6" t="n"/>
      <c r="I28" s="6" t="n"/>
      <c r="J28" s="6" t="n"/>
      <c r="K28" s="6" t="n"/>
    </row>
    <row r="29" ht="60" customHeight="1">
      <c r="A29" s="5" t="n">
        <v>28</v>
      </c>
      <c r="B29" s="5" t="inlineStr">
        <is>
          <t>부서 미배정 직원</t>
        </is>
      </c>
      <c r="C29" s="5" t="inlineStr">
        <is>
          <t>HR_ADMIN</t>
        </is>
      </c>
      <c r="D29" s="5" t="inlineStr">
        <is>
          <t>EDGE-012 시드 데이터 존재</t>
        </is>
      </c>
      <c r="E29" s="5" t="inlineStr">
        <is>
          <t>신입사 (EDGE-012)</t>
        </is>
      </c>
      <c r="F29" s="5" t="inlineStr">
        <is>
          <t>직원 목록에서 신입사 검색</t>
        </is>
      </c>
      <c r="G29" s="5" t="inlineStr">
        <is>
          <t>부서 미배정 상태가 표시되며 오류 없이 목록에 나타남</t>
        </is>
      </c>
      <c r="H29" s="6" t="n"/>
      <c r="I29" s="6" t="n"/>
      <c r="J29" s="6" t="n"/>
      <c r="K29" s="6" t="n"/>
    </row>
    <row r="30" ht="60" customHeight="1">
      <c r="A30" s="5" t="n">
        <v>29</v>
      </c>
      <c r="B30" s="5" t="inlineStr">
        <is>
          <t>법인 간 전적 직원</t>
        </is>
      </c>
      <c r="C30" s="5" t="inlineStr">
        <is>
          <t>HR_ADMIN</t>
        </is>
      </c>
      <c r="D30" s="5" t="inlineStr">
        <is>
          <t>EDGE-013 시드 데이터 존재</t>
        </is>
      </c>
      <c r="E30" s="5" t="inlineStr">
        <is>
          <t>배전적 (EDGE-013)</t>
        </is>
      </c>
      <c r="F30" s="5" t="inlineStr">
        <is>
          <t>직원 상세에서 배전적의 이력 확인</t>
        </is>
      </c>
      <c r="G30" s="5" t="inlineStr">
        <is>
          <t>법인 전적(CTR→CTR-CN) 이력이 발령 이력에 기록됨</t>
        </is>
      </c>
      <c r="H30" s="6" t="n"/>
      <c r="I30" s="6" t="n"/>
      <c r="J30" s="6" t="n"/>
      <c r="K30" s="6" t="n"/>
    </row>
    <row r="31" ht="60" customHeight="1">
      <c r="A31" s="5" t="n">
        <v>30</v>
      </c>
      <c r="B31" s="5" t="inlineStr">
        <is>
          <t>일괄 발령 처리 (Bulk HR Movements)</t>
        </is>
      </c>
      <c r="C31" s="5" t="inlineStr">
        <is>
          <t>HR_ADMIN</t>
        </is>
      </c>
      <c r="D31" s="5" t="inlineStr">
        <is>
          <t>Step 1 완료</t>
        </is>
      </c>
      <c r="E31" s="5" t="inlineStr">
        <is>
          <t>대상: 복수 직원, 발령 유형: 부서 이동</t>
        </is>
      </c>
      <c r="F31" s="5" t="inlineStr">
        <is>
          <t>인사관리 &gt; 일괄 발령 메뉴 진입 &gt; 대상 직원 선택 &gt; CSV 업로드 또는 수동 선택 &gt; 발령 유형 지정 &gt; 3단계 마법사</t>
        </is>
      </c>
      <c r="G31" s="5" t="inlineStr">
        <is>
          <t>선택한 직원들에 대해 일괄 발령이 처리되고 이력에 기록됨 (All-or-Nothing)</t>
        </is>
      </c>
      <c r="H31" s="6" t="n"/>
      <c r="I31" s="6" t="n"/>
      <c r="J31" s="6" t="n"/>
      <c r="K31" s="6" t="n"/>
    </row>
  </sheetData>
  <conditionalFormatting sqref="I2:I3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31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5" t="n">
        <v>1</v>
      </c>
      <c r="B2" s="5" t="inlineStr">
        <is>
          <t>출근 기록</t>
        </is>
      </c>
      <c r="C2" s="5" t="inlineStr">
        <is>
          <t>EMPLOYEE (employee-a@ctr.co.kr)</t>
        </is>
      </c>
      <c r="D2" s="5" t="inlineStr">
        <is>
          <t>로그인 완료, 근무일</t>
        </is>
      </c>
      <c r="E2" s="5" t="inlineStr"/>
      <c r="F2" s="5" t="inlineStr">
        <is>
          <t>좌측 메뉴 &gt; 나의 공간 &gt; 출퇴근 &gt; 출근 버튼 클릭</t>
        </is>
      </c>
      <c r="G2" s="5" t="inlineStr">
        <is>
          <t>출근 시각이 현재 시간으로 기록되고 상태가 "근무 중"으로 변경됨</t>
        </is>
      </c>
      <c r="H2" s="6" t="n"/>
      <c r="I2" s="6" t="n"/>
      <c r="J2" s="6" t="n"/>
      <c r="K2" s="6" t="n"/>
    </row>
    <row r="3" ht="60" customHeight="1">
      <c r="A3" s="5" t="n">
        <v>2</v>
      </c>
      <c r="B3" s="5" t="inlineStr">
        <is>
          <t>퇴근 기록</t>
        </is>
      </c>
      <c r="C3" s="5" t="inlineStr">
        <is>
          <t>EMPLOYEE (employee-a@ctr.co.kr)</t>
        </is>
      </c>
      <c r="D3" s="5" t="inlineStr">
        <is>
          <t>Step 1 완료 (출근 상태)</t>
        </is>
      </c>
      <c r="E3" s="5" t="inlineStr"/>
      <c r="F3" s="5" t="inlineStr">
        <is>
          <t>나의 출퇴근 페이지에서 퇴근 버튼 클릭</t>
        </is>
      </c>
      <c r="G3" s="5" t="inlineStr">
        <is>
          <t>퇴근 시각이 기록되고 근무시간이 자동 계산됨</t>
        </is>
      </c>
      <c r="H3" s="6" t="n"/>
      <c r="I3" s="6" t="n"/>
      <c r="J3" s="6" t="n"/>
      <c r="K3" s="6" t="n"/>
    </row>
    <row r="4" ht="60" customHeight="1">
      <c r="A4" s="5" t="n">
        <v>3</v>
      </c>
      <c r="B4" s="5" t="inlineStr">
        <is>
          <t>출퇴근 기록 조회</t>
        </is>
      </c>
      <c r="C4" s="5" t="inlineStr">
        <is>
          <t>EMPLOYEE (employee-a@ctr.co.kr)</t>
        </is>
      </c>
      <c r="D4" s="5" t="inlineStr">
        <is>
          <t>Step 2 완료</t>
        </is>
      </c>
      <c r="E4" s="5" t="inlineStr"/>
      <c r="F4" s="5" t="inlineStr">
        <is>
          <t>나의 출퇴근 페이지에서 이번 주 기록 확인</t>
        </is>
      </c>
      <c r="G4" s="5" t="inlineStr">
        <is>
          <t>금일 출근/퇴근 시각과 근무시간이 정확히 표시됨</t>
        </is>
      </c>
      <c r="H4" s="6" t="n"/>
      <c r="I4" s="6" t="n"/>
      <c r="J4" s="6" t="n"/>
      <c r="K4" s="6" t="n"/>
    </row>
    <row r="5" ht="60" customHeight="1">
      <c r="A5" s="5" t="n">
        <v>4</v>
      </c>
      <c r="B5" s="5" t="inlineStr">
        <is>
          <t>MANAGER 팀 출퇴근 현황</t>
        </is>
      </c>
      <c r="C5" s="5" t="inlineStr">
        <is>
          <t>MANAGER (manager@ctr.co.kr)</t>
        </is>
      </c>
      <c r="D5" s="5" t="inlineStr">
        <is>
          <t>팀원 출퇴근 기록 존재</t>
        </is>
      </c>
      <c r="E5" s="5" t="inlineStr"/>
      <c r="F5" s="5" t="inlineStr">
        <is>
          <t>좌측 메뉴 &gt; 팀 관리 &gt; 팀 근태/휴가 클릭</t>
        </is>
      </c>
      <c r="G5" s="5" t="inlineStr">
        <is>
          <t>박준혁 매니저의 팀원(이민준, 정다은)의 출퇴근 현황이 표시됨</t>
        </is>
      </c>
      <c r="H5" s="6" t="n"/>
      <c r="I5" s="6" t="n"/>
      <c r="J5" s="6" t="n"/>
      <c r="K5" s="6" t="n"/>
    </row>
    <row r="6" ht="60" customHeight="1">
      <c r="A6" s="5" t="n">
        <v>5</v>
      </c>
      <c r="B6" s="5" t="inlineStr">
        <is>
          <t>HR_ADMIN 출퇴근 관리</t>
        </is>
      </c>
      <c r="C6" s="5" t="inlineStr">
        <is>
          <t>HR_ADMIN (hr@ctr.co.kr)</t>
        </is>
      </c>
      <c r="D6" s="5" t="inlineStr">
        <is>
          <t>로그인 완료</t>
        </is>
      </c>
      <c r="E6" s="5" t="inlineStr"/>
      <c r="F6" s="5" t="inlineStr">
        <is>
          <t>좌측 메뉴 &gt; 인사관리 &gt; 근태 관리 클릭</t>
        </is>
      </c>
      <c r="G6" s="5" t="inlineStr">
        <is>
          <t>전체 직원의 출퇴근 현황이 관리자 뷰로 표시됨</t>
        </is>
      </c>
      <c r="H6" s="6" t="n"/>
      <c r="I6" s="6" t="n"/>
      <c r="J6" s="6" t="n"/>
      <c r="K6" s="6" t="n"/>
    </row>
    <row r="7" ht="60" customHeight="1">
      <c r="A7" s="5" t="n">
        <v>6</v>
      </c>
      <c r="B7" s="5" t="inlineStr">
        <is>
          <t>이상 출퇴근 감지 — 지각</t>
        </is>
      </c>
      <c r="C7" s="5" t="inlineStr">
        <is>
          <t>HR_ADMIN</t>
        </is>
      </c>
      <c r="D7" s="5" t="inlineStr">
        <is>
          <t>EDGE-023 시드 데이터 존재</t>
        </is>
      </c>
      <c r="E7" s="5" t="inlineStr">
        <is>
          <t>지각왕 (EDGE-023)</t>
        </is>
      </c>
      <c r="F7" s="5" t="inlineStr">
        <is>
          <t>출퇴근 관리에서 이상 항목 필터 적용</t>
        </is>
      </c>
      <c r="G7" s="5" t="inlineStr">
        <is>
          <t>지각왕의 빈번한 지각 기록이 이상 항목으로 감지됨</t>
        </is>
      </c>
      <c r="H7" s="6" t="n"/>
      <c r="I7" s="6" t="n"/>
      <c r="J7" s="6" t="n"/>
      <c r="K7" s="6" t="n"/>
    </row>
    <row r="8" ht="60" customHeight="1">
      <c r="A8" s="5" t="n">
        <v>7</v>
      </c>
      <c r="B8" s="5" t="inlineStr">
        <is>
          <t>이상 출퇴근 감지 — 결근</t>
        </is>
      </c>
      <c r="C8" s="5" t="inlineStr">
        <is>
          <t>HR_ADMIN</t>
        </is>
      </c>
      <c r="D8" s="5" t="inlineStr">
        <is>
          <t>Step 5 완료</t>
        </is>
      </c>
      <c r="E8" s="5" t="inlineStr"/>
      <c r="F8" s="5" t="inlineStr">
        <is>
          <t>출퇴근 관리에서 결근 필터 적용</t>
        </is>
      </c>
      <c r="G8" s="5" t="inlineStr">
        <is>
          <t>미출근 직원이 결근으로 표시됨</t>
        </is>
      </c>
      <c r="H8" s="6" t="n"/>
      <c r="I8" s="6" t="n"/>
      <c r="J8" s="6" t="n"/>
      <c r="K8" s="6" t="n"/>
    </row>
    <row r="9" ht="60" customHeight="1">
      <c r="A9" s="5" t="n">
        <v>8</v>
      </c>
      <c r="B9" s="5" t="inlineStr">
        <is>
          <t>수동 출퇴근 조정</t>
        </is>
      </c>
      <c r="C9" s="5" t="inlineStr">
        <is>
          <t>HR_ADMIN</t>
        </is>
      </c>
      <c r="D9" s="5" t="inlineStr">
        <is>
          <t>Step 5 완료</t>
        </is>
      </c>
      <c r="E9" s="5" t="inlineStr">
        <is>
          <t>대상: 이민준, 조정 사유: 외근</t>
        </is>
      </c>
      <c r="F9" s="5" t="inlineStr">
        <is>
          <t>출퇴근 관리에서 특정 직원의 기록 선택 &gt; 수정 &gt; 사유 입력 &gt; 저장</t>
        </is>
      </c>
      <c r="G9" s="5" t="inlineStr">
        <is>
          <t>수정된 출퇴근 기록이 반영되고 조정 이력이 기록됨</t>
        </is>
      </c>
      <c r="H9" s="6" t="n"/>
      <c r="I9" s="6" t="n"/>
      <c r="J9" s="6" t="n"/>
      <c r="K9" s="6" t="n"/>
    </row>
    <row r="10" ht="60" customHeight="1">
      <c r="A10" s="5" t="n">
        <v>9</v>
      </c>
      <c r="B10" s="5" t="inlineStr">
        <is>
          <t>교대근무 로스터 조회</t>
        </is>
      </c>
      <c r="C10" s="5" t="inlineStr">
        <is>
          <t>HR_ADMIN</t>
        </is>
      </c>
      <c r="D10" s="5" t="inlineStr">
        <is>
          <t>교대근무 설정 존재</t>
        </is>
      </c>
      <c r="E10" s="5" t="inlineStr"/>
      <c r="F10" s="5" t="inlineStr">
        <is>
          <t>근태 관리 &gt; 교대근무 로스터 메뉴 클릭</t>
        </is>
      </c>
      <c r="G10" s="5" t="inlineStr">
        <is>
          <t>직원별 교대 배정이 표 형태로 표시됨 + 3교대 패턴 확인</t>
        </is>
      </c>
      <c r="H10" s="6" t="n"/>
      <c r="I10" s="6" t="n"/>
      <c r="J10" s="6" t="n"/>
      <c r="K10" s="6" t="n"/>
    </row>
    <row r="11" ht="60" customHeight="1">
      <c r="A11" s="5" t="n">
        <v>10</v>
      </c>
      <c r="B11" s="5" t="inlineStr">
        <is>
          <t>팀 마감 처리</t>
        </is>
      </c>
      <c r="C11" s="5" t="inlineStr">
        <is>
          <t>MANAGER (manager@ctr.co.kr)</t>
        </is>
      </c>
      <c r="D11" s="5" t="inlineStr">
        <is>
          <t>월말</t>
        </is>
      </c>
      <c r="E11" s="5" t="inlineStr"/>
      <c r="F11" s="5" t="inlineStr">
        <is>
          <t>팀 근태/휴가 &gt; 마감 처리 버튼 클릭</t>
        </is>
      </c>
      <c r="G11" s="5" t="inlineStr">
        <is>
          <t>해당 기간의 팀 출퇴근이 마감되고 상태가 "마감완료"로 변경됨</t>
        </is>
      </c>
      <c r="H11" s="6" t="n"/>
      <c r="I11" s="6" t="n"/>
      <c r="J11" s="6" t="n"/>
      <c r="K11" s="6" t="n"/>
    </row>
    <row r="12" ht="60" customHeight="1">
      <c r="A12" s="5" t="n">
        <v>11</v>
      </c>
      <c r="B12" s="5" t="inlineStr">
        <is>
          <t>52시간 모니터링</t>
        </is>
      </c>
      <c r="C12" s="5" t="inlineStr">
        <is>
          <t>HR_ADMIN</t>
        </is>
      </c>
      <c r="D12" s="5" t="inlineStr">
        <is>
          <t>EDGE-024 시드 데이터 존재</t>
        </is>
      </c>
      <c r="E12" s="5" t="inlineStr">
        <is>
          <t>과로자 (EDGE-024)</t>
        </is>
      </c>
      <c r="F12" s="5" t="inlineStr">
        <is>
          <t>근태 관리 또는 대시보드에서 주 52시간 현황 확인</t>
        </is>
      </c>
      <c r="G12" s="5" t="inlineStr">
        <is>
          <t>과로자의 주간 근무시간이 52시간 경고와 함께 표시됨</t>
        </is>
      </c>
      <c r="H12" s="6" t="n"/>
      <c r="I12" s="6" t="n"/>
      <c r="J12" s="6" t="n"/>
      <c r="K12" s="6" t="n"/>
    </row>
    <row r="13" ht="60" customHeight="1">
      <c r="A13" s="5" t="n">
        <v>12</v>
      </c>
      <c r="B13" s="5" t="inlineStr">
        <is>
          <t>출퇴근 수정 요청</t>
        </is>
      </c>
      <c r="C13" s="5" t="inlineStr">
        <is>
          <t>EMPLOYEE (employee-a@ctr.co.kr)</t>
        </is>
      </c>
      <c r="D13" s="5" t="inlineStr">
        <is>
          <t>출퇴근 수정 필요 상황</t>
        </is>
      </c>
      <c r="E13" s="5" t="inlineStr">
        <is>
          <t>수정 사유: 기기 오류로 미퇴근 기록</t>
        </is>
      </c>
      <c r="F13" s="5" t="inlineStr">
        <is>
          <t>나의 출퇴근 &gt; 수정 요청 &gt; 사유 입력 &gt; 제출</t>
        </is>
      </c>
      <c r="G13" s="5" t="inlineStr">
        <is>
          <t>출퇴근 수정 요청이 결재함으로 전송됨</t>
        </is>
      </c>
      <c r="H13" s="6" t="n"/>
      <c r="I13" s="6" t="n"/>
      <c r="J13" s="6" t="n"/>
      <c r="K13" s="6" t="n"/>
    </row>
    <row r="14" ht="60" customHeight="1">
      <c r="A14" s="5" t="n">
        <v>13</v>
      </c>
      <c r="B14" s="5" t="inlineStr">
        <is>
          <t>출퇴근 수정 결재 처리</t>
        </is>
      </c>
      <c r="C14" s="5" t="inlineStr">
        <is>
          <t>MANAGER (manager@ctr.co.kr)</t>
        </is>
      </c>
      <c r="D14" s="5" t="inlineStr">
        <is>
          <t>Step 12 완료</t>
        </is>
      </c>
      <c r="E14" s="5" t="inlineStr"/>
      <c r="F14" s="5" t="inlineStr">
        <is>
          <t>결재 &gt; 결재함 &gt; 출퇴근 수정 요청 확인 &gt; 승인</t>
        </is>
      </c>
      <c r="G14" s="5" t="inlineStr">
        <is>
          <t>출퇴근 수정이 승인되고 기록이 반영됨</t>
        </is>
      </c>
      <c r="H14" s="6" t="n"/>
      <c r="I14" s="6" t="n"/>
      <c r="J14" s="6" t="n"/>
      <c r="K14" s="6" t="n"/>
    </row>
    <row r="15" ht="60" customHeight="1">
      <c r="A15" s="5" t="n">
        <v>14</v>
      </c>
      <c r="B15" s="5" t="inlineStr">
        <is>
          <t>초과근무 기록 확인</t>
        </is>
      </c>
      <c r="C15" s="5" t="inlineStr">
        <is>
          <t>EMPLOYEE (employee-a@ctr.co.kr)</t>
        </is>
      </c>
      <c r="D15" s="5" t="inlineStr">
        <is>
          <t>초과근무 기록 존재</t>
        </is>
      </c>
      <c r="E15" s="5" t="inlineStr"/>
      <c r="F15" s="5" t="inlineStr">
        <is>
          <t>나의 출퇴근에서 초과근무 탭 또는 영역 확인</t>
        </is>
      </c>
      <c r="G15" s="5" t="inlineStr">
        <is>
          <t>초과근무 시간이 별도로 집계되어 표시됨</t>
        </is>
      </c>
      <c r="H15" s="6" t="n"/>
      <c r="I15" s="6" t="n"/>
      <c r="J15" s="6" t="n"/>
      <c r="K15" s="6" t="n"/>
    </row>
    <row r="16" ht="60" customHeight="1">
      <c r="A16" s="5" t="n">
        <v>15</v>
      </c>
      <c r="B16" s="5" t="inlineStr">
        <is>
          <t>월간 출퇴근 리포트</t>
        </is>
      </c>
      <c r="C16" s="5" t="inlineStr">
        <is>
          <t>HR_ADMIN</t>
        </is>
      </c>
      <c r="D16" s="5" t="inlineStr">
        <is>
          <t>한 달 이상의 출퇴근 데이터 존재</t>
        </is>
      </c>
      <c r="E16" s="5" t="inlineStr"/>
      <c r="F16" s="5" t="inlineStr">
        <is>
          <t>근태 관리 &gt; 리포트/통계 영역 확인</t>
        </is>
      </c>
      <c r="G16" s="5" t="inlineStr">
        <is>
          <t>월간 출퇴근 통계(총 근무일, 지각/결근 건수 등)가 표시됨</t>
        </is>
      </c>
      <c r="H16" s="6" t="n"/>
      <c r="I16" s="6" t="n"/>
      <c r="J16" s="6" t="n"/>
      <c r="K16" s="6" t="n"/>
    </row>
    <row r="17" ht="60" customHeight="1">
      <c r="A17" s="5" t="n">
        <v>16</v>
      </c>
      <c r="B17" s="5" t="inlineStr">
        <is>
          <t>휴직자 출퇴근 제외 확인</t>
        </is>
      </c>
      <c r="C17" s="5" t="inlineStr">
        <is>
          <t>HR_ADMIN</t>
        </is>
      </c>
      <c r="D17" s="5" t="inlineStr">
        <is>
          <t>EDGE-005 시드 데이터 존재</t>
        </is>
      </c>
      <c r="E17" s="5" t="inlineStr">
        <is>
          <t>정육아 (EDGE-005)</t>
        </is>
      </c>
      <c r="F17" s="5" t="inlineStr">
        <is>
          <t>근태 관리에서 정육아 검색</t>
        </is>
      </c>
      <c r="G17" s="5" t="inlineStr">
        <is>
          <t>정육아(육아휴직)가 출퇴근 대상에서 제외되어 있음</t>
        </is>
      </c>
      <c r="H17" s="6" t="n"/>
      <c r="I17" s="6" t="n"/>
      <c r="J17" s="6" t="n"/>
      <c r="K17" s="6" t="n"/>
    </row>
    <row r="18" ht="60" customHeight="1">
      <c r="A18" s="5" t="n">
        <v>17</v>
      </c>
      <c r="B18" s="5" t="inlineStr">
        <is>
          <t>퇴사 예정자 출퇴근</t>
        </is>
      </c>
      <c r="C18" s="5" t="inlineStr">
        <is>
          <t>HR_ADMIN</t>
        </is>
      </c>
      <c r="D18" s="5" t="inlineStr">
        <is>
          <t>EDGE-007 시드 데이터 존재</t>
        </is>
      </c>
      <c r="E18" s="5" t="inlineStr">
        <is>
          <t>오퇴사 (EDGE-007)</t>
        </is>
      </c>
      <c r="F18" s="5" t="inlineStr">
        <is>
          <t>근태 관리에서 오퇴사 확인</t>
        </is>
      </c>
      <c r="G18" s="5" t="inlineStr">
        <is>
          <t>오퇴사는 퇴사일까지 출퇴근 대상에 포함됨</t>
        </is>
      </c>
      <c r="H18" s="6" t="n"/>
      <c r="I18" s="6" t="n"/>
      <c r="J18" s="6" t="n"/>
      <c r="K18" s="6" t="n"/>
    </row>
    <row r="19" ht="60" customHeight="1">
      <c r="A19" s="5" t="n">
        <v>18</v>
      </c>
      <c r="B19" s="5" t="inlineStr">
        <is>
          <t>GPS 펀치 (모바일)</t>
        </is>
      </c>
      <c r="C19" s="5" t="inlineStr">
        <is>
          <t>EMPLOYEE (employee-a@ctr.co.kr)</t>
        </is>
      </c>
      <c r="D19" s="5" t="inlineStr">
        <is>
          <t>모바일 환경</t>
        </is>
      </c>
      <c r="E19" s="5" t="inlineStr">
        <is>
          <t>위치: 회사 주소</t>
        </is>
      </c>
      <c r="F19" s="5" t="inlineStr">
        <is>
          <t>모바일에서 출퇴근 화면 진입 &gt; GPS 출근 버튼 탭</t>
        </is>
      </c>
      <c r="G19" s="5" t="inlineStr">
        <is>
          <t>GPS 위치가 허용 반경 내일 때 출근이 정상 기록됨 (반경 외는 거부)</t>
        </is>
      </c>
      <c r="H19" s="6" t="n"/>
      <c r="I19" s="6" t="n"/>
      <c r="J19" s="6" t="n"/>
      <c r="K19" s="6" t="n"/>
    </row>
    <row r="20" ht="60" customHeight="1">
      <c r="A20" s="5" t="n">
        <v>19</v>
      </c>
      <c r="B20" s="5" t="inlineStr">
        <is>
          <t>연장/야간/휴일 근무 구분</t>
        </is>
      </c>
      <c r="C20" s="5" t="inlineStr">
        <is>
          <t>HR_ADMIN</t>
        </is>
      </c>
      <c r="D20" s="5" t="inlineStr">
        <is>
          <t>초과근무 데이터 존재</t>
        </is>
      </c>
      <c r="E20" s="5" t="inlineStr"/>
      <c r="F20" s="5" t="inlineStr">
        <is>
          <t>근태 관리에서 초과근무 유형별 조회</t>
        </is>
      </c>
      <c r="G20" s="5" t="inlineStr">
        <is>
          <t>연장근무, 야간근무, 휴일근무가 구분되어 집계됨</t>
        </is>
      </c>
      <c r="H20" s="6" t="n"/>
      <c r="I20" s="6" t="n"/>
      <c r="J20" s="6" t="n"/>
      <c r="K20" s="6" t="n"/>
    </row>
    <row r="21" ht="60" customHeight="1">
      <c r="A21" s="5" t="n">
        <v>20</v>
      </c>
      <c r="B21" s="5" t="inlineStr">
        <is>
          <t>근태 이상 일괄 처리</t>
        </is>
      </c>
      <c r="C21" s="5" t="inlineStr">
        <is>
          <t>HR_ADMIN</t>
        </is>
      </c>
      <c r="D21" s="5" t="inlineStr">
        <is>
          <t>복수 이상 출퇴근 건 존재</t>
        </is>
      </c>
      <c r="E21" s="5" t="inlineStr"/>
      <c r="F21" s="5" t="inlineStr">
        <is>
          <t>근태 관리 &gt; 이상 항목 &gt; 일괄 처리</t>
        </is>
      </c>
      <c r="G21" s="5" t="inlineStr">
        <is>
          <t>선택한 이상 항목들이 일괄로 처리됨</t>
        </is>
      </c>
      <c r="H21" s="6" t="n"/>
      <c r="I21" s="6" t="n"/>
      <c r="J21" s="6" t="n"/>
      <c r="K21" s="6" t="n"/>
    </row>
    <row r="22" ht="60" customHeight="1">
      <c r="A22" s="5" t="n">
        <v>21</v>
      </c>
      <c r="B22" s="5" t="inlineStr">
        <is>
          <t>터미널/GPS 관리</t>
        </is>
      </c>
      <c r="C22" s="5" t="inlineStr">
        <is>
          <t>HR_ADMIN</t>
        </is>
      </c>
      <c r="D22" s="5" t="inlineStr">
        <is>
          <t>로그인 완료</t>
        </is>
      </c>
      <c r="E22" s="5" t="inlineStr"/>
      <c r="F22" s="5" t="inlineStr">
        <is>
          <t>설정 &gt; 출퇴근 &gt; 터미널 관리 확인</t>
        </is>
      </c>
      <c r="G22" s="5" t="inlineStr">
        <is>
          <t>출퇴근 단말기/GPS 설정 화면이 표시됨</t>
        </is>
      </c>
      <c r="H22" s="6" t="n"/>
      <c r="I22" s="6" t="n"/>
      <c r="J22" s="6" t="n"/>
      <c r="K22" s="6" t="n"/>
    </row>
    <row r="23" ht="60" customHeight="1">
      <c r="A23" s="5" t="n">
        <v>22</v>
      </c>
      <c r="B23" s="5" t="inlineStr">
        <is>
          <t>출퇴근 데이터 가져오기</t>
        </is>
      </c>
      <c r="C23" s="5" t="inlineStr">
        <is>
          <t>HR_ADMIN</t>
        </is>
      </c>
      <c r="D23" s="5" t="inlineStr">
        <is>
          <t>로그인 완료</t>
        </is>
      </c>
      <c r="E23" s="5" t="inlineStr"/>
      <c r="F23" s="5" t="inlineStr">
        <is>
          <t>근태 관리 &gt; 데이터 가져오기 메뉴 확인</t>
        </is>
      </c>
      <c r="G23" s="5" t="inlineStr">
        <is>
          <t>외부 출퇴근 데이터 임포트 기능이 제공됨</t>
        </is>
      </c>
      <c r="H23" s="6" t="n"/>
      <c r="I23" s="6" t="n"/>
      <c r="J23" s="6" t="n"/>
      <c r="K23" s="6" t="n"/>
    </row>
  </sheetData>
  <conditionalFormatting sqref="I2:I2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23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5" t="n">
        <v>1</v>
      </c>
      <c r="B2" s="5" t="inlineStr">
        <is>
          <t>연차 잔액 확인</t>
        </is>
      </c>
      <c r="C2" s="5" t="inlineStr">
        <is>
          <t>EMPLOYEE (employee-a@ctr.co.kr)</t>
        </is>
      </c>
      <c r="D2" s="5" t="inlineStr">
        <is>
          <t>로그인 완료</t>
        </is>
      </c>
      <c r="E2" s="5" t="inlineStr">
        <is>
          <t>예상 잔액: 15일</t>
        </is>
      </c>
      <c r="F2" s="5" t="inlineStr">
        <is>
          <t>좌측 메뉴 &gt; 나의 공간 &gt; 휴가 신청 클릭</t>
        </is>
      </c>
      <c r="G2" s="5" t="inlineStr">
        <is>
          <t>이민준의 연차 잔액이 15일로 표시됨 (총/사용/잔여)</t>
        </is>
      </c>
      <c r="H2" s="6" t="n"/>
      <c r="I2" s="6" t="n"/>
      <c r="J2" s="6" t="n"/>
      <c r="K2" s="6" t="n"/>
    </row>
    <row r="3" ht="60" customHeight="1">
      <c r="A3" s="5" t="n">
        <v>2</v>
      </c>
      <c r="B3" s="5" t="inlineStr">
        <is>
          <t>연차 신청</t>
        </is>
      </c>
      <c r="C3" s="5" t="inlineStr">
        <is>
          <t>EMPLOYEE (employee-a@ctr.co.kr)</t>
        </is>
      </c>
      <c r="D3" s="5" t="inlineStr">
        <is>
          <t>Step 1 완료</t>
        </is>
      </c>
      <c r="E3" s="5" t="inlineStr">
        <is>
          <t>신청일: 2026-05-20~21 (2일), 사유: 개인 사유</t>
        </is>
      </c>
      <c r="F3" s="5" t="inlineStr">
        <is>
          <t>내 휴가 &gt; 휴가 신청 &gt; 카테고리 "연차" 선택 &gt; 날짜 선택 &gt; 사유 입력 &gt; 제출</t>
        </is>
      </c>
      <c r="G3" s="5" t="inlineStr">
        <is>
          <t>휴가 신청이 접수되고 상태가 "승인 대기"로 표시됨</t>
        </is>
      </c>
      <c r="H3" s="6" t="n"/>
      <c r="I3" s="6" t="n"/>
      <c r="J3" s="6" t="n"/>
      <c r="K3" s="6" t="n"/>
    </row>
    <row r="4" ht="60" customHeight="1">
      <c r="A4" s="5" t="n">
        <v>3</v>
      </c>
      <c r="B4" s="5" t="inlineStr">
        <is>
          <t>신청 후 잔액 잠정 차감</t>
        </is>
      </c>
      <c r="C4" s="5" t="inlineStr">
        <is>
          <t>EMPLOYEE (employee-a@ctr.co.kr)</t>
        </is>
      </c>
      <c r="D4" s="5" t="inlineStr">
        <is>
          <t>Step 2 완료</t>
        </is>
      </c>
      <c r="E4" s="5" t="inlineStr"/>
      <c r="F4" s="5" t="inlineStr">
        <is>
          <t>내 휴가 페이지에서 잔액 재확인</t>
        </is>
      </c>
      <c r="G4" s="5" t="inlineStr">
        <is>
          <t>가용 일수가 13일(승인 대기 포함하여 잠정 차감)로 표시됨</t>
        </is>
      </c>
      <c r="H4" s="6" t="n"/>
      <c r="I4" s="6" t="n"/>
      <c r="J4" s="6" t="n"/>
      <c r="K4" s="6" t="n"/>
    </row>
    <row r="5" ht="60" customHeight="1">
      <c r="A5" s="5" t="n">
        <v>4</v>
      </c>
      <c r="B5" s="5" t="inlineStr">
        <is>
          <t>MANAGER 결재함 휴가 확인</t>
        </is>
      </c>
      <c r="C5" s="5" t="inlineStr">
        <is>
          <t>MANAGER (manager@ctr.co.kr)</t>
        </is>
      </c>
      <c r="D5" s="5" t="inlineStr">
        <is>
          <t>Step 2 완료</t>
        </is>
      </c>
      <c r="E5" s="5" t="inlineStr"/>
      <c r="F5" s="5" t="inlineStr">
        <is>
          <t>좌측 메뉴 &gt; 결재 &gt; 결재함 클릭</t>
        </is>
      </c>
      <c r="G5" s="5" t="inlineStr">
        <is>
          <t>이민준의 연차 신청이 대기 건으로 표시됨</t>
        </is>
      </c>
      <c r="H5" s="6" t="n"/>
      <c r="I5" s="6" t="n"/>
      <c r="J5" s="6" t="n"/>
      <c r="K5" s="6" t="n"/>
    </row>
    <row r="6" ht="60" customHeight="1">
      <c r="A6" s="5" t="n">
        <v>5</v>
      </c>
      <c r="B6" s="5" t="inlineStr">
        <is>
          <t>휴가 승인</t>
        </is>
      </c>
      <c r="C6" s="5" t="inlineStr">
        <is>
          <t>MANAGER (manager@ctr.co.kr)</t>
        </is>
      </c>
      <c r="D6" s="5" t="inlineStr">
        <is>
          <t>Step 4 완료</t>
        </is>
      </c>
      <c r="E6" s="5" t="inlineStr"/>
      <c r="F6" s="5" t="inlineStr">
        <is>
          <t>결재함에서 이민준의 연차 신청 선택 &gt; 승인 버튼 클릭</t>
        </is>
      </c>
      <c r="G6" s="5" t="inlineStr">
        <is>
          <t>승인 완료되고 상태가 "승인"으로 변경됨</t>
        </is>
      </c>
      <c r="H6" s="6" t="n"/>
      <c r="I6" s="6" t="n"/>
      <c r="J6" s="6" t="n"/>
      <c r="K6" s="6" t="n"/>
    </row>
    <row r="7" ht="60" customHeight="1">
      <c r="A7" s="5" t="n">
        <v>6</v>
      </c>
      <c r="B7" s="5" t="inlineStr">
        <is>
          <t>승인 후 직원 잔액 확정</t>
        </is>
      </c>
      <c r="C7" s="5" t="inlineStr">
        <is>
          <t>EMPLOYEE (employee-a@ctr.co.kr)</t>
        </is>
      </c>
      <c r="D7" s="5" t="inlineStr">
        <is>
          <t>Step 5 완료</t>
        </is>
      </c>
      <c r="E7" s="5" t="inlineStr"/>
      <c r="F7" s="5" t="inlineStr">
        <is>
          <t>내 휴가 페이지에서 잔액 재확인</t>
        </is>
      </c>
      <c r="G7" s="5" t="inlineStr">
        <is>
          <t>잔여 연차가 13일로 확정 표시됨 (승인 완료)</t>
        </is>
      </c>
      <c r="H7" s="6" t="n"/>
      <c r="I7" s="6" t="n"/>
      <c r="J7" s="6" t="n"/>
      <c r="K7" s="6" t="n"/>
    </row>
    <row r="8" ht="60" customHeight="1">
      <c r="A8" s="5" t="n">
        <v>7</v>
      </c>
      <c r="B8" s="5" t="inlineStr">
        <is>
          <t>반차 신청 (0.5일)</t>
        </is>
      </c>
      <c r="C8" s="5" t="inlineStr">
        <is>
          <t>EMPLOYEE (employee-a@ctr.co.kr)</t>
        </is>
      </c>
      <c r="D8" s="5" t="inlineStr">
        <is>
          <t>Step 6 완료</t>
        </is>
      </c>
      <c r="E8" s="5" t="inlineStr">
        <is>
          <t>신청일: 2026-05-22 오전 반차</t>
        </is>
      </c>
      <c r="F8" s="5" t="inlineStr">
        <is>
          <t>내 휴가 &gt; 휴가 신청 &gt; 반차(오전) 선택 &gt; 제출</t>
        </is>
      </c>
      <c r="G8" s="5" t="inlineStr">
        <is>
          <t>반차 0.5일이 신청되고 잔액이 12.5일로 표시됨 (해당 휴가 유형이 반차 허용 시)</t>
        </is>
      </c>
      <c r="H8" s="6" t="n"/>
      <c r="I8" s="6" t="n"/>
      <c r="J8" s="6" t="n"/>
      <c r="K8" s="6" t="n"/>
    </row>
    <row r="9" ht="60" customHeight="1">
      <c r="A9" s="5" t="n">
        <v>8</v>
      </c>
      <c r="B9" s="5" t="inlineStr">
        <is>
          <t>병가 신청 (증빙 첨부)</t>
        </is>
      </c>
      <c r="C9" s="5" t="inlineStr">
        <is>
          <t>EMPLOYEE (employee-a@ctr.co.kr)</t>
        </is>
      </c>
      <c r="D9" s="5" t="inlineStr">
        <is>
          <t>Step 6 완료</t>
        </is>
      </c>
      <c r="E9" s="5" t="inlineStr">
        <is>
          <t>병가 1일, 진단서 PDF 첨부</t>
        </is>
      </c>
      <c r="F9" s="5" t="inlineStr">
        <is>
          <t>내 휴가 &gt; 휴가 신청 &gt; 카테고리 "건강" &gt; 병가 선택 &gt; 증빙 첨부 &gt; 제출</t>
        </is>
      </c>
      <c r="G9" s="5" t="inlineStr">
        <is>
          <t>병가가 신청되고 연차 잔액과는 별도로 처리됨 (증빙 필수 정책 적용)</t>
        </is>
      </c>
      <c r="H9" s="6" t="n"/>
      <c r="I9" s="6" t="n"/>
      <c r="J9" s="6" t="n"/>
      <c r="K9" s="6" t="n"/>
    </row>
    <row r="10" ht="60" customHeight="1">
      <c r="A10" s="5" t="n">
        <v>9</v>
      </c>
      <c r="B10" s="5" t="inlineStr">
        <is>
          <t>휴가 반려 + 사유</t>
        </is>
      </c>
      <c r="C10" s="5" t="inlineStr">
        <is>
          <t>MANAGER (manager@ctr.co.kr)</t>
        </is>
      </c>
      <c r="D10" s="5" t="inlineStr">
        <is>
          <t>직원 휴가 신청 대기 건 존재</t>
        </is>
      </c>
      <c r="E10" s="5" t="inlineStr">
        <is>
          <t>반려 사유: 업무 일정 충돌</t>
        </is>
      </c>
      <c r="F10" s="5" t="inlineStr">
        <is>
          <t>결재함 &gt; 휴가 신청 선택 &gt; 반려 &gt; 사유 입력 &gt; 확인</t>
        </is>
      </c>
      <c r="G10" s="5" t="inlineStr">
        <is>
          <t>반려 처리되고 직원에게 반려 사유가 전달됨</t>
        </is>
      </c>
      <c r="H10" s="6" t="n"/>
      <c r="I10" s="6" t="n"/>
      <c r="J10" s="6" t="n"/>
      <c r="K10" s="6" t="n"/>
    </row>
    <row r="11" ht="60" customHeight="1">
      <c r="A11" s="5" t="n">
        <v>10</v>
      </c>
      <c r="B11" s="5" t="inlineStr">
        <is>
          <t>반려 후 직원 확인</t>
        </is>
      </c>
      <c r="C11" s="5" t="inlineStr">
        <is>
          <t>EMPLOYEE (employee-a@ctr.co.kr)</t>
        </is>
      </c>
      <c r="D11" s="5" t="inlineStr">
        <is>
          <t>Step 9 완료</t>
        </is>
      </c>
      <c r="E11" s="5" t="inlineStr"/>
      <c r="F11" s="5" t="inlineStr">
        <is>
          <t>내 휴가에서 반려된 신청 확인</t>
        </is>
      </c>
      <c r="G11" s="5" t="inlineStr">
        <is>
          <t>반려된 신청이 "반려" 상태로 표시되고 사유가 확인 가능 + 잔액 복구</t>
        </is>
      </c>
      <c r="H11" s="6" t="n"/>
      <c r="I11" s="6" t="n"/>
      <c r="J11" s="6" t="n"/>
      <c r="K11" s="6" t="n"/>
    </row>
    <row r="12" ht="60" customHeight="1">
      <c r="A12" s="5" t="n">
        <v>11</v>
      </c>
      <c r="B12" s="5" t="inlineStr">
        <is>
          <t>HR_ADMIN 휴가 관리</t>
        </is>
      </c>
      <c r="C12" s="5" t="inlineStr">
        <is>
          <t>HR_ADMIN (hr@ctr.co.kr)</t>
        </is>
      </c>
      <c r="D12" s="5" t="inlineStr">
        <is>
          <t>로그인 완료</t>
        </is>
      </c>
      <c r="E12" s="5" t="inlineStr"/>
      <c r="F12" s="5" t="inlineStr">
        <is>
          <t>좌측 메뉴 &gt; 인사관리 &gt; 휴가/휴직 관리 클릭</t>
        </is>
      </c>
      <c r="G12" s="5" t="inlineStr">
        <is>
          <t>전체 직원의 휴가 현황이 관리자 뷰로 표시됨 (6 카테고리 그룹핑)</t>
        </is>
      </c>
      <c r="H12" s="6" t="n"/>
      <c r="I12" s="6" t="n"/>
      <c r="J12" s="6" t="n"/>
      <c r="K12" s="6" t="n"/>
    </row>
    <row r="13" ht="60" customHeight="1">
      <c r="A13" s="5" t="n">
        <v>12</v>
      </c>
      <c r="B13" s="5" t="inlineStr">
        <is>
          <t>팀별 휴가 현황 조회</t>
        </is>
      </c>
      <c r="C13" s="5" t="inlineStr">
        <is>
          <t>MANAGER (manager@ctr.co.kr)</t>
        </is>
      </c>
      <c r="D13" s="5" t="inlineStr">
        <is>
          <t>로그인 완료</t>
        </is>
      </c>
      <c r="E13" s="5" t="inlineStr"/>
      <c r="F13" s="5" t="inlineStr">
        <is>
          <t>팀 관리 &gt; 팀 근태/휴가 클릭</t>
        </is>
      </c>
      <c r="G13" s="5" t="inlineStr">
        <is>
          <t>박준혁 팀의 휴가 현황(캘린더 또는 리스트)이 표시됨</t>
        </is>
      </c>
      <c r="H13" s="6" t="n"/>
      <c r="I13" s="6" t="n"/>
      <c r="J13" s="6" t="n"/>
      <c r="K13" s="6" t="n"/>
    </row>
    <row r="14" ht="60" customHeight="1">
      <c r="A14" s="7" t="n">
        <v>13</v>
      </c>
      <c r="B14" s="7" t="inlineStr">
        <is>
          <t>연차촉진 수동 통보 점검 (cron 미동작)</t>
        </is>
      </c>
      <c r="C14" s="7" t="inlineStr">
        <is>
          <t>HR_ADMIN</t>
        </is>
      </c>
      <c r="D14" s="7" t="inlineStr">
        <is>
          <t>로그인 완료</t>
        </is>
      </c>
      <c r="E14" s="7" t="inlineStr"/>
      <c r="F14" s="7" t="inlineStr">
        <is>
          <t>휴가 관리 &gt; 사용촉진 로그 탭 확인 — 자동 발송 X, 인사담당자 수동 처리 필요</t>
        </is>
      </c>
      <c r="G14" s="7" t="inlineStr">
        <is>
          <t>사용촉진 통보 로그가 표시되지만 자동 발송은 미구현(매뉴얼 §9 #10 알려진 제약). 인사담당자가 수동으로 통보·이력 기록함을 확인</t>
        </is>
      </c>
      <c r="H14" s="6" t="n"/>
      <c r="I14" s="6" t="n"/>
      <c r="J14" s="6" t="n"/>
      <c r="K14" s="6" t="n"/>
    </row>
    <row r="15" ht="60" customHeight="1">
      <c r="A15" s="7" t="n">
        <v>14</v>
      </c>
      <c r="B15" s="7" t="inlineStr">
        <is>
          <t>지정연차 등록 + 자동 차감</t>
        </is>
      </c>
      <c r="C15" s="7" t="inlineStr">
        <is>
          <t>HR_ADMIN</t>
        </is>
      </c>
      <c r="D15" s="7" t="inlineStr">
        <is>
          <t>로그인 완료</t>
        </is>
      </c>
      <c r="E15" s="7" t="inlineStr">
        <is>
          <t>지정일: 2026-08-12 (여름 집단휴가), 대상: 전체</t>
        </is>
      </c>
      <c r="F15" s="7" t="inlineStr">
        <is>
          <t>설정 &gt; 휴가 &gt; 지정연차 관리 &gt; 신규 등록 &gt; 날짜 + 대상 선택 &gt; 저장</t>
        </is>
      </c>
      <c r="G15" s="7" t="inlineStr">
        <is>
          <t>지정연차가 등록되고 모든 직원의 가용 일수에서 1일이 자동 차감됨 (MyLeave KPI 반영)</t>
        </is>
      </c>
      <c r="H15" s="6" t="n"/>
      <c r="I15" s="6" t="n"/>
      <c r="J15" s="6" t="n"/>
      <c r="K15" s="6" t="n"/>
    </row>
    <row r="16" ht="60" customHeight="1">
      <c r="A16" s="5" t="n">
        <v>15</v>
      </c>
      <c r="B16" s="5" t="inlineStr">
        <is>
          <t>경조사 휴가 신청 (달력일 통산)</t>
        </is>
      </c>
      <c r="C16" s="5" t="inlineStr">
        <is>
          <t>EMPLOYEE (employee-a@ctr.co.kr)</t>
        </is>
      </c>
      <c r="D16" s="5" t="inlineStr">
        <is>
          <t>로그인 완료</t>
        </is>
      </c>
      <c r="E16" s="5" t="inlineStr">
        <is>
          <t>본인결혼 5일, 시작일: 2026-06-15 (월)</t>
        </is>
      </c>
      <c r="F16" s="5" t="inlineStr">
        <is>
          <t>내 휴가 &gt; 휴가 신청 &gt; 카테고리 "경조사" &gt; 본인결혼 선택 &gt; 시작일 입력 &gt; 제출</t>
        </is>
      </c>
      <c r="G16" s="5" t="inlineStr">
        <is>
          <t>본인결혼 5일이 달력일 + 통산(공휴일·주말 포함)으로 차감됨</t>
        </is>
      </c>
      <c r="H16" s="6" t="n"/>
      <c r="I16" s="6" t="n"/>
      <c r="J16" s="6" t="n"/>
      <c r="K16" s="6" t="n"/>
    </row>
    <row r="17" ht="60" customHeight="1">
      <c r="A17" s="5" t="n">
        <v>16</v>
      </c>
      <c r="B17" s="5" t="inlineStr">
        <is>
          <t>휴가 취소 — 사용 전</t>
        </is>
      </c>
      <c r="C17" s="5" t="inlineStr">
        <is>
          <t>EMPLOYEE (employee-a@ctr.co.kr)</t>
        </is>
      </c>
      <c r="D17" s="5" t="inlineStr">
        <is>
          <t>승인된 미사용 휴가 존재</t>
        </is>
      </c>
      <c r="E17" s="5" t="inlineStr"/>
      <c r="F17" s="5" t="inlineStr">
        <is>
          <t>내 휴가 &gt; 승인된 미사용 휴가 선택 &gt; 취소 요청</t>
        </is>
      </c>
      <c r="G17" s="5" t="inlineStr">
        <is>
          <t>휴가가 자동 취소되고 잔액이 즉시 복구됨</t>
        </is>
      </c>
      <c r="H17" s="6" t="n"/>
      <c r="I17" s="6" t="n"/>
      <c r="J17" s="6" t="n"/>
      <c r="K17" s="6" t="n"/>
    </row>
    <row r="18" ht="60" customHeight="1">
      <c r="A18" s="5" t="n">
        <v>17</v>
      </c>
      <c r="B18" s="5" t="inlineStr">
        <is>
          <t>휴가 취소 — 사용 중 (팀장 승인)</t>
        </is>
      </c>
      <c r="C18" s="5" t="inlineStr">
        <is>
          <t>EMPLOYEE / MANAGER</t>
        </is>
      </c>
      <c r="D18" s="5" t="inlineStr">
        <is>
          <t>시작일 경과 + 종료일 미경과 휴가 존재</t>
        </is>
      </c>
      <c r="E18" s="5" t="inlineStr"/>
      <c r="F18" s="5" t="inlineStr">
        <is>
          <t>EMPLOYEE: 취소 요청 → MANAGER: 결재함에서 승인</t>
        </is>
      </c>
      <c r="G18" s="5" t="inlineStr">
        <is>
          <t>사용일까지만 차감, 나머지는 복구. 팀장 승인 완료 후 반영</t>
        </is>
      </c>
      <c r="H18" s="6" t="n"/>
      <c r="I18" s="6" t="n"/>
      <c r="J18" s="6" t="n"/>
      <c r="K18" s="6" t="n"/>
    </row>
    <row r="19" ht="60" customHeight="1">
      <c r="A19" s="5" t="n">
        <v>18</v>
      </c>
      <c r="B19" s="5" t="inlineStr">
        <is>
          <t>연말 갱신 (이월/소멸)</t>
        </is>
      </c>
      <c r="C19" s="5" t="inlineStr">
        <is>
          <t>HR_ADMIN</t>
        </is>
      </c>
      <c r="D19" s="5" t="inlineStr">
        <is>
          <t>로그인 완료</t>
        </is>
      </c>
      <c r="E19" s="5" t="inlineStr"/>
      <c r="F19" s="5" t="inlineStr">
        <is>
          <t>인사관리 &gt; 휴가/휴직 관리 &gt; 연말 갱신 메뉴 확인</t>
        </is>
      </c>
      <c r="G19" s="5" t="inlineStr">
        <is>
          <t>연말 잔여 연차 정산 기능이 제공됨 (이월/소멸/수당전환 + 신규 부여)</t>
        </is>
      </c>
      <c r="H19" s="6" t="n"/>
      <c r="I19" s="6" t="n"/>
      <c r="J19" s="6" t="n"/>
      <c r="K19" s="6" t="n"/>
    </row>
  </sheetData>
  <conditionalFormatting sqref="I2:I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19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7" t="n">
        <v>1</v>
      </c>
      <c r="B2" s="7" t="inlineStr">
        <is>
          <t>육아휴직 신청 (직원)</t>
        </is>
      </c>
      <c r="C2" s="7" t="inlineStr">
        <is>
          <t>EMPLOYEE (employee-a@ctr.co.kr)</t>
        </is>
      </c>
      <c r="D2" s="7" t="inlineStr">
        <is>
          <t>로그인 완료</t>
        </is>
      </c>
      <c r="E2" s="7" t="inlineStr">
        <is>
          <t>휴직 유형: 육아휴직, 기간: 2026-08-01 ~ 2027-07-31</t>
        </is>
      </c>
      <c r="F2" s="7" t="inlineStr">
        <is>
          <t>나의 공간 &gt; 휴직 신청 &gt; 육아휴직 선택 &gt; 기간 입력 &gt; 사유 입력 &gt; 제출</t>
        </is>
      </c>
      <c r="G2" s="7" t="inlineStr">
        <is>
          <t>휴직 신청이 접수되고 상태 "REQUESTED" → 결재 대기</t>
        </is>
      </c>
      <c r="H2" s="6" t="n"/>
      <c r="I2" s="6" t="n"/>
      <c r="J2" s="6" t="n"/>
      <c r="K2" s="6" t="n"/>
    </row>
    <row r="3" ht="60" customHeight="1">
      <c r="A3" s="7" t="n">
        <v>2</v>
      </c>
      <c r="B3" s="7" t="inlineStr">
        <is>
          <t>HR 휴직 승인</t>
        </is>
      </c>
      <c r="C3" s="7" t="inlineStr">
        <is>
          <t>HR_ADMIN (hr@ctr.co.kr)</t>
        </is>
      </c>
      <c r="D3" s="7" t="inlineStr">
        <is>
          <t>Step 1 완료</t>
        </is>
      </c>
      <c r="E3" s="7" t="inlineStr"/>
      <c r="F3" s="7" t="inlineStr">
        <is>
          <t>인사관리 &gt; 휴가/휴직 관리 &gt; 휴직 신청 목록 &gt; Step 1 신청 선택 &gt; 승인</t>
        </is>
      </c>
      <c r="G3" s="7" t="inlineStr">
        <is>
          <t>휴직이 승인되고 상태 "APPROVED" → "ACTIVE" 전환 (시작일 도래 시)</t>
        </is>
      </c>
      <c r="H3" s="6" t="n"/>
      <c r="I3" s="6" t="n"/>
      <c r="J3" s="6" t="n"/>
      <c r="K3" s="6" t="n"/>
    </row>
    <row r="4" ht="60" customHeight="1">
      <c r="A4" s="7" t="n">
        <v>3</v>
      </c>
      <c r="B4" s="7" t="inlineStr">
        <is>
          <t>휴직 상태 자동 전환</t>
        </is>
      </c>
      <c r="C4" s="7" t="inlineStr">
        <is>
          <t>HR_ADMIN</t>
        </is>
      </c>
      <c r="D4" s="7" t="inlineStr">
        <is>
          <t>Step 2 완료, 시작일 도래</t>
        </is>
      </c>
      <c r="E4" s="7" t="inlineStr"/>
      <c r="F4" s="7" t="inlineStr">
        <is>
          <t>휴직 관리에서 해당 직원 상태 확인</t>
        </is>
      </c>
      <c r="G4" s="7" t="inlineStr">
        <is>
          <t>시작일에 자동으로 ACTIVE 전환되고 직원 상태 배지 "휴직 중" 표시</t>
        </is>
      </c>
      <c r="H4" s="6" t="n"/>
      <c r="I4" s="6" t="n"/>
      <c r="J4" s="6" t="n"/>
      <c r="K4" s="6" t="n"/>
    </row>
    <row r="5" ht="60" customHeight="1">
      <c r="A5" s="7" t="n">
        <v>4</v>
      </c>
      <c r="B5" s="7" t="inlineStr">
        <is>
          <t>출퇴근 대상 제외 확인</t>
        </is>
      </c>
      <c r="C5" s="7" t="inlineStr">
        <is>
          <t>HR_ADMIN</t>
        </is>
      </c>
      <c r="D5" s="7" t="inlineStr">
        <is>
          <t>Step 3 완료</t>
        </is>
      </c>
      <c r="E5" s="7" t="inlineStr"/>
      <c r="F5" s="7" t="inlineStr">
        <is>
          <t>근태 관리에서 휴직 중 직원 검색</t>
        </is>
      </c>
      <c r="G5" s="7" t="inlineStr">
        <is>
          <t>해당 직원이 출퇴근 대상에서 자동 제외됨 (이상 항목 발생 안 함)</t>
        </is>
      </c>
      <c r="H5" s="6" t="n"/>
      <c r="I5" s="6" t="n"/>
      <c r="J5" s="6" t="n"/>
      <c r="K5" s="6" t="n"/>
    </row>
    <row r="6" ht="60" customHeight="1">
      <c r="A6" s="7" t="n">
        <v>5</v>
      </c>
      <c r="B6" s="7" t="inlineStr">
        <is>
          <t>급여 대상 자동 주입 확인</t>
        </is>
      </c>
      <c r="C6" s="7" t="inlineStr">
        <is>
          <t>HR_ADMIN</t>
        </is>
      </c>
      <c r="D6" s="7" t="inlineStr">
        <is>
          <t>Step 3 완료, 급여 실행 생성 시점</t>
        </is>
      </c>
      <c r="E6" s="7" t="inlineStr"/>
      <c r="F6" s="7" t="inlineStr">
        <is>
          <t>급여 &gt; 새 급여 실행 &gt; 휴직 중 직원 포함 여부 확인</t>
        </is>
      </c>
      <c r="G6" s="7" t="inlineStr">
        <is>
          <t>ACTIVE LOA가 PayrollRun 생성 시점에 자동 주입되고 PayrollAdjustment 자동 생성됨</t>
        </is>
      </c>
      <c r="H6" s="6" t="n"/>
      <c r="I6" s="6" t="n"/>
      <c r="J6" s="6" t="n"/>
      <c r="K6" s="6" t="n"/>
    </row>
    <row r="7" ht="60" customHeight="1">
      <c r="A7" s="7" t="n">
        <v>6</v>
      </c>
      <c r="B7" s="7" t="inlineStr">
        <is>
          <t>cross-month 일할계산</t>
        </is>
      </c>
      <c r="C7" s="7" t="inlineStr">
        <is>
          <t>HR_ADMIN</t>
        </is>
      </c>
      <c r="D7" s="7" t="inlineStr">
        <is>
          <t>휴직 기간이 월 중간에 시작</t>
        </is>
      </c>
      <c r="E7" s="7" t="inlineStr"/>
      <c r="F7" s="7" t="inlineStr">
        <is>
          <t>급여 실행에서 휴직 직원의 PayrollAdjustment 확인</t>
        </is>
      </c>
      <c r="G7" s="7" t="inlineStr">
        <is>
          <t>월별 일할계산이 자동 적용됨 (Phase 3 cross-month 자동화)</t>
        </is>
      </c>
      <c r="H7" s="6" t="n"/>
      <c r="I7" s="6" t="n"/>
      <c r="J7" s="6" t="n"/>
      <c r="K7" s="6" t="n"/>
    </row>
    <row r="8" ht="60" customHeight="1">
      <c r="A8" s="7" t="n">
        <v>7</v>
      </c>
      <c r="B8" s="7" t="inlineStr">
        <is>
          <t>복귀 알림 cron (D-7/D-3/D-1)</t>
        </is>
      </c>
      <c r="C8" s="7" t="inlineStr">
        <is>
          <t>HR_ADMIN</t>
        </is>
      </c>
      <c r="D8" s="7" t="inlineStr">
        <is>
          <t>복귀 예정일 D-7</t>
        </is>
      </c>
      <c r="E8" s="7" t="inlineStr"/>
      <c r="F8" s="7" t="inlineStr">
        <is>
          <t>대시보드 또는 알림 센터에서 복귀 알림 확인</t>
        </is>
      </c>
      <c r="G8" s="7" t="inlineStr">
        <is>
          <t>D-7/D-3/D-1 시점에 직원 본인 + HR에게 복귀 알림이 발송됨</t>
        </is>
      </c>
      <c r="H8" s="6" t="n"/>
      <c r="I8" s="6" t="n"/>
      <c r="J8" s="6" t="n"/>
      <c r="K8" s="6" t="n"/>
    </row>
    <row r="9" ht="60" customHeight="1">
      <c r="A9" s="7" t="n">
        <v>8</v>
      </c>
      <c r="B9" s="7" t="inlineStr">
        <is>
          <t>복직 신청 (직원 또는 HR 대리)</t>
        </is>
      </c>
      <c r="C9" s="7" t="inlineStr">
        <is>
          <t>EMPLOYEE / HR_ADMIN</t>
        </is>
      </c>
      <c r="D9" s="7" t="inlineStr">
        <is>
          <t>복귀 예정일 도래</t>
        </is>
      </c>
      <c r="E9" s="7" t="inlineStr"/>
      <c r="F9" s="7" t="inlineStr">
        <is>
          <t>나의 공간 &gt; 휴직 신청 &gt; 복직 신청 다이얼로그 또는 HR이 직원 상세에서 대리 신청</t>
        </is>
      </c>
      <c r="G9" s="7" t="inlineStr">
        <is>
          <t>복직 신청이 접수되고 결재 대기 상태</t>
        </is>
      </c>
      <c r="H9" s="6" t="n"/>
      <c r="I9" s="6" t="n"/>
      <c r="J9" s="6" t="n"/>
      <c r="K9" s="6" t="n"/>
    </row>
    <row r="10" ht="60" customHeight="1">
      <c r="A10" s="7" t="n">
        <v>9</v>
      </c>
      <c r="B10" s="7" t="inlineStr">
        <is>
          <t>복직 완료 처리</t>
        </is>
      </c>
      <c r="C10" s="7" t="inlineStr">
        <is>
          <t>HR_ADMIN</t>
        </is>
      </c>
      <c r="D10" s="7" t="inlineStr">
        <is>
          <t>Step 8 완료</t>
        </is>
      </c>
      <c r="E10" s="7" t="inlineStr"/>
      <c r="F10" s="7" t="inlineStr">
        <is>
          <t>휴직 관리에서 복직 신청 선택 &gt; 승인 / 복직 완료 처리</t>
        </is>
      </c>
      <c r="G10" s="7" t="inlineStr">
        <is>
          <t>상태 "COMPLETED" → 직원 상태 "ACTIVE" 복원 + 출퇴근/급여 대상 재포함</t>
        </is>
      </c>
      <c r="H10" s="6" t="n"/>
      <c r="I10" s="6" t="n"/>
      <c r="J10" s="6" t="n"/>
      <c r="K10" s="6" t="n"/>
    </row>
    <row r="11" ht="60" customHeight="1">
      <c r="A11" s="7" t="n">
        <v>10</v>
      </c>
      <c r="B11" s="7" t="inlineStr">
        <is>
          <t>복귀 후 PayrollAdjustment 역조정</t>
        </is>
      </c>
      <c r="C11" s="7" t="inlineStr">
        <is>
          <t>HR_ADMIN</t>
        </is>
      </c>
      <c r="D11" s="7" t="inlineStr">
        <is>
          <t>Step 9 완료, 다음 급여 실행</t>
        </is>
      </c>
      <c r="E11" s="7" t="inlineStr"/>
      <c r="F11" s="7" t="inlineStr">
        <is>
          <t>다음 PayrollRun 생성 시 해당 직원의 Adjustment 확인</t>
        </is>
      </c>
      <c r="G11" s="7" t="inlineStr">
        <is>
          <t>복직 시점에 맞춰 일할계산 역조정이 자동 생성됨</t>
        </is>
      </c>
      <c r="H11" s="6" t="n"/>
      <c r="I11" s="6" t="n"/>
      <c r="J11" s="6" t="n"/>
      <c r="K11" s="6" t="n"/>
    </row>
    <row r="12" ht="60" customHeight="1">
      <c r="A12" s="7" t="n">
        <v>11</v>
      </c>
      <c r="B12" s="7" t="inlineStr">
        <is>
          <t>휴직 복귀 예정 직원 — 시드 데이터</t>
        </is>
      </c>
      <c r="C12" s="7" t="inlineStr">
        <is>
          <t>HR_ADMIN</t>
        </is>
      </c>
      <c r="D12" s="7" t="inlineStr">
        <is>
          <t>EDGE-006 시드 데이터 존재</t>
        </is>
      </c>
      <c r="E12" s="7" t="inlineStr">
        <is>
          <t>한복귀 (EDGE-006)</t>
        </is>
      </c>
      <c r="F12" s="7" t="inlineStr">
        <is>
          <t>인사관리 &gt; 휴가/휴직 관리에서 한복귀 검색</t>
        </is>
      </c>
      <c r="G12" s="7" t="inlineStr">
        <is>
          <t>복귀 예정 알림이 표시되고 복귀 처리 버튼이 제공됨</t>
        </is>
      </c>
      <c r="H12" s="6" t="n"/>
      <c r="I12" s="6" t="n"/>
      <c r="J12" s="6" t="n"/>
      <c r="K12" s="6" t="n"/>
    </row>
    <row r="13" ht="60" customHeight="1">
      <c r="A13" s="7" t="n">
        <v>12</v>
      </c>
      <c r="B13" s="7" t="inlineStr">
        <is>
          <t>6-state 워크플로 확인</t>
        </is>
      </c>
      <c r="C13" s="7" t="inlineStr">
        <is>
          <t>HR_ADMIN</t>
        </is>
      </c>
      <c r="D13" s="7" t="inlineStr">
        <is>
          <t>복수 휴직 건 존재</t>
        </is>
      </c>
      <c r="E13" s="7" t="inlineStr"/>
      <c r="F13" s="7" t="inlineStr">
        <is>
          <t>휴직 관리 목록에서 상태 필터 확인</t>
        </is>
      </c>
      <c r="G13" s="7" t="inlineStr">
        <is>
          <t>REQUESTED / APPROVED / ACTIVE / RETURN_REQUESTED / COMPLETED / REJECTED 6개 상태 모두 표시 가능</t>
        </is>
      </c>
      <c r="H13" s="6" t="n"/>
      <c r="I13" s="6" t="n"/>
      <c r="J13" s="6" t="n"/>
      <c r="K13" s="6" t="n"/>
    </row>
  </sheetData>
  <conditionalFormatting sqref="I2:I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13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5" t="n">
        <v>1</v>
      </c>
      <c r="B2" s="5" t="inlineStr">
        <is>
          <t>급여 대시보드 확인</t>
        </is>
      </c>
      <c r="C2" s="5" t="inlineStr">
        <is>
          <t>HR_ADMIN (hr@ctr.co.kr)</t>
        </is>
      </c>
      <c r="D2" s="5" t="inlineStr">
        <is>
          <t>로그인 완료</t>
        </is>
      </c>
      <c r="E2" s="5" t="inlineStr"/>
      <c r="F2" s="5" t="inlineStr">
        <is>
          <t>좌측 메뉴 &gt; 급여 &gt; 급여 대시보드 클릭</t>
        </is>
      </c>
      <c r="G2" s="5" t="inlineStr">
        <is>
          <t>급여 대시보드가 표시되고 최근 급여 실행 현황이 보임</t>
        </is>
      </c>
      <c r="H2" s="6" t="n"/>
      <c r="I2" s="6" t="n"/>
      <c r="J2" s="6" t="n"/>
      <c r="K2" s="6" t="n"/>
    </row>
    <row r="3" ht="60" customHeight="1">
      <c r="A3" s="5" t="n">
        <v>2</v>
      </c>
      <c r="B3" s="5" t="inlineStr">
        <is>
          <t>급여 실행 생성</t>
        </is>
      </c>
      <c r="C3" s="5" t="inlineStr">
        <is>
          <t>HR_ADMIN</t>
        </is>
      </c>
      <c r="D3" s="5" t="inlineStr">
        <is>
          <t>Step 1 완료</t>
        </is>
      </c>
      <c r="E3" s="5" t="inlineStr">
        <is>
          <t>급여월: 2026년 5월</t>
        </is>
      </c>
      <c r="F3" s="5" t="inlineStr">
        <is>
          <t>급여 대시보드 &gt; 새 급여 실행 생성 &gt; 2026년 5월 선택 &gt; 생성</t>
        </is>
      </c>
      <c r="G3" s="5" t="inlineStr">
        <is>
          <t>5월 급여 실행이 "초안(DRAFT)" 상태로 생성됨</t>
        </is>
      </c>
      <c r="H3" s="6" t="n"/>
      <c r="I3" s="6" t="n"/>
      <c r="J3" s="6" t="n"/>
      <c r="K3" s="6" t="n"/>
    </row>
    <row r="4" ht="60" customHeight="1">
      <c r="A4" s="5" t="n">
        <v>3</v>
      </c>
      <c r="B4" s="5" t="inlineStr">
        <is>
          <t>출퇴근 마감 연동</t>
        </is>
      </c>
      <c r="C4" s="5" t="inlineStr">
        <is>
          <t>HR_ADMIN</t>
        </is>
      </c>
      <c r="D4" s="5" t="inlineStr">
        <is>
          <t>Step 2 완료</t>
        </is>
      </c>
      <c r="E4" s="5" t="inlineStr"/>
      <c r="F4" s="5" t="inlineStr">
        <is>
          <t>급여 &gt; 근태 마감 메뉴에서 5월 마감 상태 확인</t>
        </is>
      </c>
      <c r="G4" s="5" t="inlineStr">
        <is>
          <t>출퇴근 마감이 급여 실행과 연동되어 근무일수/초과근무가 반영됨</t>
        </is>
      </c>
      <c r="H4" s="6" t="n"/>
      <c r="I4" s="6" t="n"/>
      <c r="J4" s="6" t="n"/>
      <c r="K4" s="6" t="n"/>
    </row>
    <row r="5" ht="60" customHeight="1">
      <c r="A5" s="5" t="n">
        <v>4</v>
      </c>
      <c r="B5" s="5" t="inlineStr">
        <is>
          <t>급여 조정 입력 (수동 조정)</t>
        </is>
      </c>
      <c r="C5" s="5" t="inlineStr">
        <is>
          <t>HR_ADMIN</t>
        </is>
      </c>
      <c r="D5" s="5" t="inlineStr">
        <is>
          <t>Step 2 완료</t>
        </is>
      </c>
      <c r="E5" s="5" t="inlineStr">
        <is>
          <t>대상: 이민준, 조정: 야근수당 200,000원</t>
        </is>
      </c>
      <c r="F5" s="5" t="inlineStr">
        <is>
          <t>급여 &gt; 수동 조정 메뉴 &gt; 이민준 선택 &gt; 야근수당 입력 &gt; 저장</t>
        </is>
      </c>
      <c r="G5" s="5" t="inlineStr">
        <is>
          <t>조정 항목이 급여 실행에 반영됨</t>
        </is>
      </c>
      <c r="H5" s="6" t="n"/>
      <c r="I5" s="6" t="n"/>
      <c r="J5" s="6" t="n"/>
      <c r="K5" s="6" t="n"/>
    </row>
    <row r="6" ht="60" customHeight="1">
      <c r="A6" s="5" t="n">
        <v>5</v>
      </c>
      <c r="B6" s="5" t="inlineStr">
        <is>
          <t>급여 이상 감지</t>
        </is>
      </c>
      <c r="C6" s="5" t="inlineStr">
        <is>
          <t>HR_ADMIN</t>
        </is>
      </c>
      <c r="D6" s="5" t="inlineStr">
        <is>
          <t>Step 4 완료</t>
        </is>
      </c>
      <c r="E6" s="5" t="inlineStr"/>
      <c r="F6" s="5" t="inlineStr">
        <is>
          <t>급여 &gt; 이상 검토 메뉴 클릭</t>
        </is>
      </c>
      <c r="G6" s="5" t="inlineStr">
        <is>
          <t>전월 대비 큰 변동이 있는 직원이 6개 이상 감지 규칙으로 표시됨</t>
        </is>
      </c>
      <c r="H6" s="6" t="n"/>
      <c r="I6" s="6" t="n"/>
      <c r="J6" s="6" t="n"/>
      <c r="K6" s="6" t="n"/>
    </row>
    <row r="7" ht="60" customHeight="1">
      <c r="A7" s="5" t="n">
        <v>6</v>
      </c>
      <c r="B7" s="5" t="inlineStr">
        <is>
          <t>급여 시뮬레이션</t>
        </is>
      </c>
      <c r="C7" s="5" t="inlineStr">
        <is>
          <t>HR_ADMIN</t>
        </is>
      </c>
      <c r="D7" s="5" t="inlineStr">
        <is>
          <t>Step 2 완료</t>
        </is>
      </c>
      <c r="E7" s="5" t="inlineStr"/>
      <c r="F7" s="5" t="inlineStr">
        <is>
          <t>급여 &gt; 급여 시뮬레이션 메뉴에서 5월 급여 시뮬레이션 실행</t>
        </is>
      </c>
      <c r="G7" s="5" t="inlineStr">
        <is>
          <t>급여 시뮬레이션 결과가 표시되고 실제 실행 전 검증 가능</t>
        </is>
      </c>
      <c r="H7" s="6" t="n"/>
      <c r="I7" s="6" t="n"/>
      <c r="J7" s="6" t="n"/>
      <c r="K7" s="6" t="n"/>
    </row>
    <row r="8" ht="60" customHeight="1">
      <c r="A8" s="5" t="n">
        <v>7</v>
      </c>
      <c r="B8" s="5" t="inlineStr">
        <is>
          <t>급여 검토</t>
        </is>
      </c>
      <c r="C8" s="5" t="inlineStr">
        <is>
          <t>HR_ADMIN</t>
        </is>
      </c>
      <c r="D8" s="5" t="inlineStr">
        <is>
          <t>Step 6 완료</t>
        </is>
      </c>
      <c r="E8" s="5" t="inlineStr"/>
      <c r="F8" s="5" t="inlineStr">
        <is>
          <t>급여 실행 &gt; 검토 페이지에서 직원별 급여 항목 확인</t>
        </is>
      </c>
      <c r="G8" s="5" t="inlineStr">
        <is>
          <t>기본급, 식대, 4대보험 공제 등 항목별 금액이 정확히 표시됨</t>
        </is>
      </c>
      <c r="H8" s="6" t="n"/>
      <c r="I8" s="6" t="n"/>
      <c r="J8" s="6" t="n"/>
      <c r="K8" s="6" t="n"/>
    </row>
    <row r="9" ht="60" customHeight="1">
      <c r="A9" s="5" t="n">
        <v>8</v>
      </c>
      <c r="B9" s="5" t="inlineStr">
        <is>
          <t>급여 다단계 승인 (KR 2단계)</t>
        </is>
      </c>
      <c r="C9" s="5" t="inlineStr">
        <is>
          <t>HR_ADMIN → MANAGER → CEO</t>
        </is>
      </c>
      <c r="D9" s="5" t="inlineStr">
        <is>
          <t>Step 7 완료</t>
        </is>
      </c>
      <c r="E9" s="5" t="inlineStr"/>
      <c r="F9" s="5" t="inlineStr">
        <is>
          <t>급여 실행 &gt; 승인 요청 &gt; 본부장 1차 승인 → 대표 최종 승인</t>
        </is>
      </c>
      <c r="G9" s="5" t="inlineStr">
        <is>
          <t>한국 법인 2단계 결재 완료. 9-state pipeline 진행 (DRAFT → ... → PAID)</t>
        </is>
      </c>
      <c r="H9" s="6" t="n"/>
      <c r="I9" s="6" t="n"/>
      <c r="J9" s="6" t="n"/>
      <c r="K9" s="6" t="n"/>
    </row>
    <row r="10" ht="60" customHeight="1">
      <c r="A10" s="5" t="n">
        <v>9</v>
      </c>
      <c r="B10" s="5" t="inlineStr">
        <is>
          <t>이체 파일 생성</t>
        </is>
      </c>
      <c r="C10" s="5" t="inlineStr">
        <is>
          <t>HR_ADMIN</t>
        </is>
      </c>
      <c r="D10" s="5" t="inlineStr">
        <is>
          <t>Step 8 완료</t>
        </is>
      </c>
      <c r="E10" s="5" t="inlineStr"/>
      <c r="F10" s="5" t="inlineStr">
        <is>
          <t>급여 &gt; 이체 내역 메뉴에서 은행 이체 파일 생성</t>
        </is>
      </c>
      <c r="G10" s="5" t="inlineStr">
        <is>
          <t>은행 이체용 CSV 파일이 생성되고 다운로드 가능</t>
        </is>
      </c>
      <c r="H10" s="6" t="n"/>
      <c r="I10" s="6" t="n"/>
      <c r="J10" s="6" t="n"/>
      <c r="K10" s="6" t="n"/>
    </row>
    <row r="11" ht="60" customHeight="1">
      <c r="A11" s="5" t="n">
        <v>10</v>
      </c>
      <c r="B11" s="5" t="inlineStr">
        <is>
          <t>급여명세서 발행</t>
        </is>
      </c>
      <c r="C11" s="5" t="inlineStr">
        <is>
          <t>HR_ADMIN</t>
        </is>
      </c>
      <c r="D11" s="5" t="inlineStr">
        <is>
          <t>Step 8 완료</t>
        </is>
      </c>
      <c r="E11" s="5" t="inlineStr"/>
      <c r="F11" s="5" t="inlineStr">
        <is>
          <t>급여 실행 &gt; 명세서 발행 클릭</t>
        </is>
      </c>
      <c r="G11" s="5" t="inlineStr">
        <is>
          <t>직원별 급여명세서가 생성되고 발행 상태가 "발행완료"로 변경됨</t>
        </is>
      </c>
      <c r="H11" s="6" t="n"/>
      <c r="I11" s="6" t="n"/>
      <c r="J11" s="6" t="n"/>
      <c r="K11" s="6" t="n"/>
    </row>
    <row r="12" ht="60" customHeight="1">
      <c r="A12" s="5" t="n">
        <v>11</v>
      </c>
      <c r="B12" s="5" t="inlineStr">
        <is>
          <t>EMPLOYEE 급여명세서 확인</t>
        </is>
      </c>
      <c r="C12" s="5" t="inlineStr">
        <is>
          <t>EMPLOYEE (employee-a@ctr.co.kr)</t>
        </is>
      </c>
      <c r="D12" s="5" t="inlineStr">
        <is>
          <t>Step 10 완료</t>
        </is>
      </c>
      <c r="E12" s="5" t="inlineStr"/>
      <c r="F12" s="5" t="inlineStr">
        <is>
          <t>나의 공간 &gt; 급여명세서 클릭</t>
        </is>
      </c>
      <c r="G12" s="5" t="inlineStr">
        <is>
          <t>이민준의 5월 급여명세서가 표시되고 항목별 금액 확인 가능</t>
        </is>
      </c>
      <c r="H12" s="6" t="n"/>
      <c r="I12" s="6" t="n"/>
      <c r="J12" s="6" t="n"/>
      <c r="K12" s="6" t="n"/>
    </row>
    <row r="13" ht="60" customHeight="1">
      <c r="A13" s="5" t="n">
        <v>12</v>
      </c>
      <c r="B13" s="5" t="inlineStr">
        <is>
          <t>급여명세서 항목 확인</t>
        </is>
      </c>
      <c r="C13" s="5" t="inlineStr">
        <is>
          <t>EMPLOYEE (employee-a@ctr.co.kr)</t>
        </is>
      </c>
      <c r="D13" s="5" t="inlineStr">
        <is>
          <t>Step 11 완료</t>
        </is>
      </c>
      <c r="E13" s="5" t="inlineStr"/>
      <c r="F13" s="5" t="inlineStr">
        <is>
          <t>급여명세서에서 세부 항목 확인</t>
        </is>
      </c>
      <c r="G13" s="5" t="inlineStr">
        <is>
          <t>기본급, 식대, 교통비, 4대보험(국민연금/건강보험/고용보험/산재보험) + 소득세 항목이 모두 표시됨</t>
        </is>
      </c>
      <c r="H13" s="6" t="n"/>
      <c r="I13" s="6" t="n"/>
      <c r="J13" s="6" t="n"/>
      <c r="K13" s="6" t="n"/>
    </row>
    <row r="14" ht="60" customHeight="1">
      <c r="A14" s="5" t="n">
        <v>13</v>
      </c>
      <c r="B14" s="5" t="inlineStr">
        <is>
          <t>글로벌 급여 관리 (해외 법인)</t>
        </is>
      </c>
      <c r="C14" s="5" t="inlineStr">
        <is>
          <t>HR_ADMIN</t>
        </is>
      </c>
      <c r="D14" s="5" t="inlineStr">
        <is>
          <t>로그인 완료</t>
        </is>
      </c>
      <c r="E14" s="5" t="inlineStr"/>
      <c r="F14" s="5" t="inlineStr">
        <is>
          <t>급여 &gt; 글로벌 급여 메뉴 클릭</t>
        </is>
      </c>
      <c r="G14" s="5" t="inlineStr">
        <is>
          <t>해외 법인(CTR-CN 등)의 급여 관리 화면이 표시됨 (외부 처리 결과 업로드 방식)</t>
        </is>
      </c>
      <c r="H14" s="6" t="n"/>
      <c r="I14" s="6" t="n"/>
      <c r="J14" s="6" t="n"/>
      <c r="K14" s="6" t="n"/>
    </row>
    <row r="15" ht="60" customHeight="1">
      <c r="A15" s="5" t="n">
        <v>14</v>
      </c>
      <c r="B15" s="5" t="inlineStr">
        <is>
          <t>연말정산 (한국)</t>
        </is>
      </c>
      <c r="C15" s="5" t="inlineStr">
        <is>
          <t>HR_ADMIN</t>
        </is>
      </c>
      <c r="D15" s="5" t="inlineStr">
        <is>
          <t>로그인 완료</t>
        </is>
      </c>
      <c r="E15" s="5" t="inlineStr"/>
      <c r="F15" s="5" t="inlineStr">
        <is>
          <t>급여 &gt; 연말정산 메뉴 클릭</t>
        </is>
      </c>
      <c r="G15" s="5" t="inlineStr">
        <is>
          <t>한국 법인 직원의 연말정산 관리 화면이 표시됨</t>
        </is>
      </c>
      <c r="H15" s="6" t="n"/>
      <c r="I15" s="6" t="n"/>
      <c r="J15" s="6" t="n"/>
      <c r="K15" s="6" t="n"/>
    </row>
    <row r="16" ht="60" customHeight="1">
      <c r="A16" s="5" t="n">
        <v>15</v>
      </c>
      <c r="B16" s="5" t="inlineStr">
        <is>
          <t>4 종 export 파일</t>
        </is>
      </c>
      <c r="C16" s="5" t="inlineStr">
        <is>
          <t>HR_ADMIN</t>
        </is>
      </c>
      <c r="D16" s="5" t="inlineStr">
        <is>
          <t>Step 10 완료</t>
        </is>
      </c>
      <c r="E16" s="5" t="inlineStr"/>
      <c r="F16" s="5" t="inlineStr">
        <is>
          <t>급여 실행 상세에서 4종 export 확인</t>
        </is>
      </c>
      <c r="G16" s="5" t="inlineStr">
        <is>
          <t>비교(comparison) / 원장(ledger) / 분개(journal) / 은행 CSV 4종 모두 다운로드 가능</t>
        </is>
      </c>
      <c r="H16" s="6" t="n"/>
      <c r="I16" s="6" t="n"/>
      <c r="J16" s="6" t="n"/>
      <c r="K16" s="6" t="n"/>
    </row>
    <row r="17" ht="60" customHeight="1">
      <c r="A17" s="5" t="n">
        <v>16</v>
      </c>
      <c r="B17" s="5" t="inlineStr">
        <is>
          <t>무급 인턴 급여 제외</t>
        </is>
      </c>
      <c r="C17" s="5" t="inlineStr">
        <is>
          <t>HR_ADMIN</t>
        </is>
      </c>
      <c r="D17" s="5" t="inlineStr">
        <is>
          <t>EDGE-017 시드 데이터 존재</t>
        </is>
      </c>
      <c r="E17" s="5" t="inlineStr">
        <is>
          <t>무급실 (EDGE-017)</t>
        </is>
      </c>
      <c r="F17" s="5" t="inlineStr">
        <is>
          <t>급여 실행에서 무급실 확인</t>
        </is>
      </c>
      <c r="G17" s="5" t="inlineStr">
        <is>
          <t>무급 인턴이 급여 지급 대상에서 제외되거나 0원으로 처리됨</t>
        </is>
      </c>
      <c r="H17" s="6" t="n"/>
      <c r="I17" s="6" t="n"/>
      <c r="J17" s="6" t="n"/>
      <c r="K17" s="6" t="n"/>
    </row>
    <row r="18" ht="60" customHeight="1">
      <c r="A18" s="5" t="n">
        <v>17</v>
      </c>
      <c r="B18" s="5" t="inlineStr">
        <is>
          <t>연봉 밴드 초과자 확인</t>
        </is>
      </c>
      <c r="C18" s="5" t="inlineStr">
        <is>
          <t>HR_ADMIN</t>
        </is>
      </c>
      <c r="D18" s="5" t="inlineStr">
        <is>
          <t>EDGE-015 시드 데이터 존재</t>
        </is>
      </c>
      <c r="E18" s="5" t="inlineStr">
        <is>
          <t>고초과 (EDGE-015)</t>
        </is>
      </c>
      <c r="F18" s="5" t="inlineStr">
        <is>
          <t>보상 또는 급여 관리에서 밴드 초과자 확인</t>
        </is>
      </c>
      <c r="G18" s="5" t="inlineStr">
        <is>
          <t>고초과의 현재 연봉이 해당 직급 밴드 상한을 초과한다는 경고가 표시됨</t>
        </is>
      </c>
      <c r="H18" s="6" t="n"/>
      <c r="I18" s="6" t="n"/>
      <c r="J18" s="6" t="n"/>
      <c r="K18" s="6" t="n"/>
    </row>
    <row r="19" ht="60" customHeight="1">
      <c r="A19" s="5" t="n">
        <v>18</v>
      </c>
      <c r="B19" s="5" t="inlineStr">
        <is>
          <t>연봉 밴드 미달자 확인</t>
        </is>
      </c>
      <c r="C19" s="5" t="inlineStr">
        <is>
          <t>HR_ADMIN</t>
        </is>
      </c>
      <c r="D19" s="5" t="inlineStr">
        <is>
          <t>EDGE-016 시드 데이터 존재</t>
        </is>
      </c>
      <c r="E19" s="5" t="inlineStr">
        <is>
          <t>하미달 (EDGE-016)</t>
        </is>
      </c>
      <c r="F19" s="5" t="inlineStr">
        <is>
          <t>보상 또는 급여 관리에서 밴드 미달자 확인</t>
        </is>
      </c>
      <c r="G19" s="5" t="inlineStr">
        <is>
          <t>하미달의 현재 연봉이 해당 직급 밴드 하한에 미달한다는 경고가 표시됨</t>
        </is>
      </c>
      <c r="H19" s="6" t="n"/>
      <c r="I19" s="6" t="n"/>
      <c r="J19" s="6" t="n"/>
      <c r="K19" s="6" t="n"/>
    </row>
    <row r="20" ht="60" customHeight="1">
      <c r="A20" s="5" t="n">
        <v>19</v>
      </c>
      <c r="B20" s="5" t="inlineStr">
        <is>
          <t>빈번한 급여 변경 직원</t>
        </is>
      </c>
      <c r="C20" s="5" t="inlineStr">
        <is>
          <t>HR_ADMIN</t>
        </is>
      </c>
      <c r="D20" s="5" t="inlineStr">
        <is>
          <t>EDGE-018 시드 데이터 존재</t>
        </is>
      </c>
      <c r="E20" s="5" t="inlineStr">
        <is>
          <t>변봉급 (EDGE-018)</t>
        </is>
      </c>
      <c r="F20" s="5" t="inlineStr">
        <is>
          <t>급여 이상 검토에서 변봉급 확인</t>
        </is>
      </c>
      <c r="G20" s="5" t="inlineStr">
        <is>
          <t>잦은 급여 변경 이력이 이상 항목으로 감지됨</t>
        </is>
      </c>
      <c r="H20" s="6" t="n"/>
      <c r="I20" s="6" t="n"/>
      <c r="J20" s="6" t="n"/>
      <c r="K20" s="6" t="n"/>
    </row>
    <row r="21" ht="60" customHeight="1">
      <c r="A21" s="5" t="n">
        <v>20</v>
      </c>
      <c r="B21" s="5" t="inlineStr">
        <is>
          <t>비정기 조정 대기 확인</t>
        </is>
      </c>
      <c r="C21" s="5" t="inlineStr">
        <is>
          <t>HR_ADMIN</t>
        </is>
      </c>
      <c r="D21" s="5" t="inlineStr">
        <is>
          <t>EDGE-019 시드 데이터 존재</t>
        </is>
      </c>
      <c r="E21" s="5" t="inlineStr">
        <is>
          <t>승대기 (EDGE-019)</t>
        </is>
      </c>
      <c r="F21" s="5" t="inlineStr">
        <is>
          <t>보상 &gt; 비정기 조정 목록에서 승대기 확인</t>
        </is>
      </c>
      <c r="G21" s="5" t="inlineStr">
        <is>
          <t>승인 대기 중인 비정기 조정 건이 표시됨</t>
        </is>
      </c>
      <c r="H21" s="6" t="n"/>
      <c r="I21" s="6" t="n"/>
      <c r="J21" s="6" t="n"/>
      <c r="K21" s="6" t="n"/>
    </row>
    <row r="22" ht="60" customHeight="1">
      <c r="A22" s="5" t="n">
        <v>21</v>
      </c>
      <c r="B22" s="5" t="inlineStr">
        <is>
          <t>EMPLOYEE 타인 급여 접근 차단</t>
        </is>
      </c>
      <c r="C22" s="5" t="inlineStr">
        <is>
          <t>EMPLOYEE (employee-a@ctr.co.kr)</t>
        </is>
      </c>
      <c r="D22" s="5" t="inlineStr">
        <is>
          <t>로그인 완료</t>
        </is>
      </c>
      <c r="E22" s="5" t="inlineStr">
        <is>
          <t>URL: /payroll/me/[다른직원RunID]</t>
        </is>
      </c>
      <c r="F22" s="5" t="inlineStr">
        <is>
          <t>브라우저 주소창에 다른 직원의 급여명세서 URL 직접 입력</t>
        </is>
      </c>
      <c r="G22" s="5" t="inlineStr">
        <is>
          <t>403 접근 거부 또는 본인 급여만 조회 가능</t>
        </is>
      </c>
      <c r="H22" s="6" t="n"/>
      <c r="I22" s="6" t="n"/>
      <c r="J22" s="6" t="n"/>
      <c r="K22" s="6" t="n"/>
    </row>
    <row r="23" ht="60" customHeight="1">
      <c r="A23" s="5" t="n">
        <v>22</v>
      </c>
      <c r="B23" s="5" t="inlineStr">
        <is>
          <t>급여 실행 삭제/취소</t>
        </is>
      </c>
      <c r="C23" s="5" t="inlineStr">
        <is>
          <t>HR_ADMIN</t>
        </is>
      </c>
      <c r="D23" s="5" t="inlineStr">
        <is>
          <t>초안 상태의 급여 실행 존재</t>
        </is>
      </c>
      <c r="E23" s="5" t="inlineStr"/>
      <c r="F23" s="5" t="inlineStr">
        <is>
          <t>급여 대시보드에서 초안 상태 급여 실행 선택 &gt; 삭제/취소</t>
        </is>
      </c>
      <c r="G23" s="5" t="inlineStr">
        <is>
          <t>초안 상태의 급여 실행이 삭제/취소됨</t>
        </is>
      </c>
      <c r="H23" s="6" t="n"/>
      <c r="I23" s="6" t="n"/>
      <c r="J23" s="6" t="n"/>
      <c r="K23" s="6" t="n"/>
    </row>
  </sheetData>
  <conditionalFormatting sqref="I2:I2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23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5" t="n">
        <v>1</v>
      </c>
      <c r="B2" s="5" t="inlineStr">
        <is>
          <t>EMPLOYEE 결재 요청 생성 (휴가)</t>
        </is>
      </c>
      <c r="C2" s="5" t="inlineStr">
        <is>
          <t>EMPLOYEE (employee-a@ctr.co.kr)</t>
        </is>
      </c>
      <c r="D2" s="5" t="inlineStr">
        <is>
          <t>로그인 완료</t>
        </is>
      </c>
      <c r="E2" s="5" t="inlineStr">
        <is>
          <t>휴가 신청: 연차 1일 (2026-05-22)</t>
        </is>
      </c>
      <c r="F2" s="5" t="inlineStr">
        <is>
          <t>나의 공간 &gt; 휴가 신청 &gt; 제출</t>
        </is>
      </c>
      <c r="G2" s="5" t="inlineStr">
        <is>
          <t>결재 요청이 생성되고 매니저의 결재함에 전송됨</t>
        </is>
      </c>
      <c r="H2" s="6" t="n"/>
      <c r="I2" s="6" t="n"/>
      <c r="J2" s="6" t="n"/>
      <c r="K2" s="6" t="n"/>
    </row>
    <row r="3" ht="60" customHeight="1">
      <c r="A3" s="5" t="n">
        <v>2</v>
      </c>
      <c r="B3" s="5" t="inlineStr">
        <is>
          <t>MANAGER 결재함 대기 건 확인</t>
        </is>
      </c>
      <c r="C3" s="5" t="inlineStr">
        <is>
          <t>MANAGER (manager@ctr.co.kr)</t>
        </is>
      </c>
      <c r="D3" s="5" t="inlineStr">
        <is>
          <t>Step 1 완료</t>
        </is>
      </c>
      <c r="E3" s="5" t="inlineStr"/>
      <c r="F3" s="5" t="inlineStr">
        <is>
          <t>좌측 메뉴 &gt; 결재 &gt; 결재함 클릭</t>
        </is>
      </c>
      <c r="G3" s="5" t="inlineStr">
        <is>
          <t>이민준의 휴가 신청이 대기 건으로 표시됨</t>
        </is>
      </c>
      <c r="H3" s="6" t="n"/>
      <c r="I3" s="6" t="n"/>
      <c r="J3" s="6" t="n"/>
      <c r="K3" s="6" t="n"/>
    </row>
    <row r="4" ht="60" customHeight="1">
      <c r="A4" s="5" t="n">
        <v>3</v>
      </c>
      <c r="B4" s="5" t="inlineStr">
        <is>
          <t>결재 승인</t>
        </is>
      </c>
      <c r="C4" s="5" t="inlineStr">
        <is>
          <t>MANAGER (manager@ctr.co.kr)</t>
        </is>
      </c>
      <c r="D4" s="5" t="inlineStr">
        <is>
          <t>Step 2 완료</t>
        </is>
      </c>
      <c r="E4" s="5" t="inlineStr"/>
      <c r="F4" s="5" t="inlineStr">
        <is>
          <t>결재함에서 이민준 휴가 신청 선택 &gt; 승인</t>
        </is>
      </c>
      <c r="G4" s="5" t="inlineStr">
        <is>
          <t>결재가 승인되고 상태가 "완료"로 변경됨</t>
        </is>
      </c>
      <c r="H4" s="6" t="n"/>
      <c r="I4" s="6" t="n"/>
      <c r="J4" s="6" t="n"/>
      <c r="K4" s="6" t="n"/>
    </row>
    <row r="5" ht="60" customHeight="1">
      <c r="A5" s="5" t="n">
        <v>4</v>
      </c>
      <c r="B5" s="5" t="inlineStr">
        <is>
          <t>결재 반려 + 사유</t>
        </is>
      </c>
      <c r="C5" s="5" t="inlineStr">
        <is>
          <t>MANAGER (manager@ctr.co.kr)</t>
        </is>
      </c>
      <c r="D5" s="5" t="inlineStr">
        <is>
          <t>새로운 결재 대기 건 존재</t>
        </is>
      </c>
      <c r="E5" s="5" t="inlineStr">
        <is>
          <t>반려 사유: 날짜 변경 요청</t>
        </is>
      </c>
      <c r="F5" s="5" t="inlineStr">
        <is>
          <t>결재함에서 대기 건 선택 &gt; 반려 &gt; 사유 입력 &gt; 확인</t>
        </is>
      </c>
      <c r="G5" s="5" t="inlineStr">
        <is>
          <t>결재가 반려되고 신청자에게 반려 사유가 전달됨</t>
        </is>
      </c>
      <c r="H5" s="6" t="n"/>
      <c r="I5" s="6" t="n"/>
      <c r="J5" s="6" t="n"/>
      <c r="K5" s="6" t="n"/>
    </row>
    <row r="6" ht="60" customHeight="1">
      <c r="A6" s="5" t="n">
        <v>5</v>
      </c>
      <c r="B6" s="5" t="inlineStr">
        <is>
          <t>다단계 승인 흐름 (채용 결재)</t>
        </is>
      </c>
      <c r="C6" s="5" t="inlineStr">
        <is>
          <t>HR_ADMIN</t>
        </is>
      </c>
      <c r="D6" s="5" t="inlineStr">
        <is>
          <t>채용요청서 시드 존재</t>
        </is>
      </c>
      <c r="E6" s="5" t="inlineStr"/>
      <c r="F6" s="5" t="inlineStr">
        <is>
          <t>채용 &gt; 채용요청서 &gt; 새 요청서 작성 &gt; 제출 → 다단계 승인 진행</t>
        </is>
      </c>
      <c r="G6" s="5" t="inlineStr">
        <is>
          <t>채용 1단계(본부장) 승인 후 2단계(전결)로 자동 전달 또는 finalize됨</t>
        </is>
      </c>
      <c r="H6" s="6" t="n"/>
      <c r="I6" s="6" t="n"/>
      <c r="J6" s="6" t="n"/>
      <c r="K6" s="6" t="n"/>
    </row>
    <row r="7" ht="60" customHeight="1">
      <c r="A7" s="7" t="n">
        <v>6</v>
      </c>
      <c r="B7" s="7" t="inlineStr">
        <is>
          <t>dept_head 결재 라우팅</t>
        </is>
      </c>
      <c r="C7" s="7" t="inlineStr">
        <is>
          <t>HR_ADMIN / dept_head</t>
        </is>
      </c>
      <c r="D7" s="7" t="inlineStr">
        <is>
          <t>Department.head_employee_id 시드 존재</t>
        </is>
      </c>
      <c r="E7" s="7" t="inlineStr">
        <is>
          <t>52개 부서장 시드</t>
        </is>
      </c>
      <c r="F7" s="7" t="inlineStr">
        <is>
          <t>결재 라우팅에서 dept_head 단계 결재자 확인</t>
        </is>
      </c>
      <c r="G7" s="7" t="inlineStr">
        <is>
          <t>Department.head_employee_id 기반으로 부서장이 결재자로 자동 지정됨 (resolveApproverByRole)</t>
        </is>
      </c>
      <c r="H7" s="6" t="n"/>
      <c r="I7" s="6" t="n"/>
      <c r="J7" s="6" t="n"/>
      <c r="K7" s="6" t="n"/>
    </row>
    <row r="8" ht="60" customHeight="1">
      <c r="A8" s="7" t="n">
        <v>7</v>
      </c>
      <c r="B8" s="7" t="inlineStr">
        <is>
          <t>multi-role canApprove (detail page)</t>
        </is>
      </c>
      <c r="C8" s="7" t="inlineStr">
        <is>
          <t>multi-role 사용자</t>
        </is>
      </c>
      <c r="D8" s="7" t="inlineStr">
        <is>
          <t>HR_ADMIN base + 보조 MANAGER active EmployeeRole</t>
        </is>
      </c>
      <c r="E8" s="7" t="inlineStr"/>
      <c r="F8" s="7" t="inlineStr">
        <is>
          <t>채용요청서 상세 페이지에서 결재 버튼 노출 확인</t>
        </is>
      </c>
      <c r="G8" s="7" t="inlineStr">
        <is>
          <t>multi-role employee의 detail page에서 결재 버튼이 false-deny되지 않고 정상 노출됨 (PR #18)</t>
        </is>
      </c>
      <c r="H8" s="6" t="n"/>
      <c r="I8" s="6" t="n"/>
      <c r="J8" s="6" t="n"/>
      <c r="K8" s="6" t="n"/>
    </row>
    <row r="9" ht="60" customHeight="1">
      <c r="A9" s="7" t="n">
        <v>8</v>
      </c>
      <c r="B9" s="7" t="inlineStr">
        <is>
          <t>off-cycle approve trailing self-skip</t>
        </is>
      </c>
      <c r="C9" s="7" t="inlineStr">
        <is>
          <t>HR_ADMIN → MANAGER</t>
        </is>
      </c>
      <c r="D9" s="7" t="inlineStr">
        <is>
          <t>[direct_manager → hr_admin] flow + HR_ADMIN 발의</t>
        </is>
      </c>
      <c r="E9" s="7" t="inlineStr"/>
      <c r="F9" s="7" t="inlineStr">
        <is>
          <t>HR_ADMIN이 off-cycle 보상 발의 → step 2 self-skip APPROVED + step 1 PENDING → MANAGER가 step 1 결재</t>
        </is>
      </c>
      <c r="G9" s="7" t="inlineStr">
        <is>
          <t>step 1 결재 후 즉시 finalize되어 status=APPROVED, currentStep=totalSteps로 갱신 (PR #19 stuck fix)</t>
        </is>
      </c>
      <c r="H9" s="6" t="n"/>
      <c r="I9" s="6" t="n"/>
      <c r="J9" s="6" t="n"/>
      <c r="K9" s="6" t="n"/>
    </row>
    <row r="10" ht="60" customHeight="1">
      <c r="A10" s="7" t="n">
        <v>9</v>
      </c>
      <c r="B10" s="7" t="inlineStr">
        <is>
          <t>secondary assignment 결재자</t>
        </is>
      </c>
      <c r="C10" s="7" t="inlineStr">
        <is>
          <t>secondary manager</t>
        </is>
      </c>
      <c r="D10" s="7" t="inlineStr">
        <is>
          <t>직원에 보조 매니저 active</t>
        </is>
      </c>
      <c r="E10" s="7" t="inlineStr"/>
      <c r="F10" s="7" t="inlineStr">
        <is>
          <t>보조 매니저로 결재 시도</t>
        </is>
      </c>
      <c r="G10" s="7" t="inlineStr">
        <is>
          <t>보조(secondary) assignment 결재자도 결재 가능. primary만 가능하지 않음 (Session 204)</t>
        </is>
      </c>
      <c r="H10" s="6" t="n"/>
      <c r="I10" s="6" t="n"/>
      <c r="J10" s="6" t="n"/>
      <c r="K10" s="6" t="n"/>
    </row>
    <row r="11" ht="60" customHeight="1">
      <c r="A11" s="7" t="n">
        <v>10</v>
      </c>
      <c r="B11" s="7" t="inlineStr">
        <is>
          <t>pre-hire 로그인 차단</t>
        </is>
      </c>
      <c r="C11" s="7" t="inlineStr">
        <is>
          <t>pre-hire 계정</t>
        </is>
      </c>
      <c r="D11" s="7" t="inlineStr">
        <is>
          <t>effectiveDate &gt; now</t>
        </is>
      </c>
      <c r="E11" s="7" t="inlineStr"/>
      <c r="F11" s="7" t="inlineStr">
        <is>
          <t>입사일 전 신규 직원 계정으로 로그인 시도</t>
        </is>
      </c>
      <c r="G11" s="7" t="inlineStr">
        <is>
          <t>EMPLOYEE/[] 강등 적용되어 권한 없는 빈 세션 통과 차단 (Session 209)</t>
        </is>
      </c>
      <c r="H11" s="6" t="n"/>
      <c r="I11" s="6" t="n"/>
      <c r="J11" s="6" t="n"/>
      <c r="K11" s="6" t="n"/>
    </row>
    <row r="12" ht="60" customHeight="1">
      <c r="A12" s="5" t="n">
        <v>11</v>
      </c>
      <c r="B12" s="5" t="inlineStr">
        <is>
          <t>위임 설정</t>
        </is>
      </c>
      <c r="C12" s="5" t="inlineStr">
        <is>
          <t>MANAGER (manager@ctr.co.kr)</t>
        </is>
      </c>
      <c r="D12" s="5" t="inlineStr">
        <is>
          <t>로그인 완료</t>
        </is>
      </c>
      <c r="E12" s="5" t="inlineStr">
        <is>
          <t>위임 대상: 김서연 (manager2), 기간: 2026-05-20~30</t>
        </is>
      </c>
      <c r="F12" s="5" t="inlineStr">
        <is>
          <t>팀 관리 &gt; 위임 설정 &gt; 새 위임 &gt; 대리자/기간 지정 &gt; 저장</t>
        </is>
      </c>
      <c r="G12" s="5" t="inlineStr">
        <is>
          <t>위임이 설정되고 해당 기간 동안 결재 건이 대리자에게 전달됨</t>
        </is>
      </c>
      <c r="H12" s="6" t="n"/>
      <c r="I12" s="6" t="n"/>
      <c r="J12" s="6" t="n"/>
      <c r="K12" s="6" t="n"/>
    </row>
    <row r="13" ht="60" customHeight="1">
      <c r="A13" s="5" t="n">
        <v>12</v>
      </c>
      <c r="B13" s="5" t="inlineStr">
        <is>
          <t>위임 결재 동작</t>
        </is>
      </c>
      <c r="C13" s="5" t="inlineStr">
        <is>
          <t>MANAGER (manager2@ctr.co.kr)</t>
        </is>
      </c>
      <c r="D13" s="5" t="inlineStr">
        <is>
          <t>Step 11 완료, 위임 기간 중 결재 건 존재</t>
        </is>
      </c>
      <c r="E13" s="5" t="inlineStr"/>
      <c r="F13" s="5" t="inlineStr">
        <is>
          <t>결재함에서 위임받은 결재 건 확인 &gt; 승인</t>
        </is>
      </c>
      <c r="G13" s="5" t="inlineStr">
        <is>
          <t>위임 결재자(김서연)가 정상적으로 승인 처리 가능</t>
        </is>
      </c>
      <c r="H13" s="6" t="n"/>
      <c r="I13" s="6" t="n"/>
      <c r="J13" s="6" t="n"/>
      <c r="K13" s="6" t="n"/>
    </row>
    <row r="14" ht="60" customHeight="1">
      <c r="A14" s="5" t="n">
        <v>13</v>
      </c>
      <c r="B14" s="5" t="inlineStr">
        <is>
          <t>HR_ADMIN 전체 결재 현황</t>
        </is>
      </c>
      <c r="C14" s="5" t="inlineStr">
        <is>
          <t>HR_ADMIN (hr@ctr.co.kr)</t>
        </is>
      </c>
      <c r="D14" s="5" t="inlineStr">
        <is>
          <t>로그인 완료</t>
        </is>
      </c>
      <c r="E14" s="5" t="inlineStr"/>
      <c r="F14" s="5" t="inlineStr">
        <is>
          <t>결재 &gt; 결재함 또는 전체 현황 클릭</t>
        </is>
      </c>
      <c r="G14" s="5" t="inlineStr">
        <is>
          <t>HR_ADMIN이 전체 법인의 결재 현황(대기/완료/반려)을 조회할 수 있음</t>
        </is>
      </c>
      <c r="H14" s="6" t="n"/>
      <c r="I14" s="6" t="n"/>
      <c r="J14" s="6" t="n"/>
      <c r="K14" s="6" t="n"/>
    </row>
    <row r="15" ht="60" customHeight="1">
      <c r="A15" s="5" t="n">
        <v>14</v>
      </c>
      <c r="B15" s="5" t="inlineStr">
        <is>
          <t>결재 라인 설정 UI</t>
        </is>
      </c>
      <c r="C15" s="5" t="inlineStr">
        <is>
          <t>HR_ADMIN</t>
        </is>
      </c>
      <c r="D15" s="5" t="inlineStr">
        <is>
          <t>로그인 완료</t>
        </is>
      </c>
      <c r="E15" s="5" t="inlineStr"/>
      <c r="F15" s="5" t="inlineStr">
        <is>
          <t>설정 &gt; 시스템 &gt; 결재 플로우 확인</t>
        </is>
      </c>
      <c r="G15" s="5" t="inlineStr">
        <is>
          <t>결재 유형별(휴가/출퇴근/급여 등) 결재 라인 등록 화면. ⚠ 휴가 모듈은 이 설정을 읽지 않음 (manuals/leave.md §5.2 알려진 제약)</t>
        </is>
      </c>
      <c r="H15" s="6" t="n"/>
      <c r="I15" s="6" t="n"/>
      <c r="J15" s="6" t="n"/>
      <c r="K15" s="6" t="n"/>
    </row>
    <row r="16" ht="60" customHeight="1">
      <c r="A16" s="5" t="n">
        <v>15</v>
      </c>
      <c r="B16" s="5" t="inlineStr">
        <is>
          <t>출퇴근 결재</t>
        </is>
      </c>
      <c r="C16" s="5" t="inlineStr">
        <is>
          <t>MANAGER (manager@ctr.co.kr)</t>
        </is>
      </c>
      <c r="D16" s="5" t="inlineStr">
        <is>
          <t>출퇴근 수정 요청 결재 건 존재</t>
        </is>
      </c>
      <c r="E16" s="5" t="inlineStr"/>
      <c r="F16" s="5" t="inlineStr">
        <is>
          <t>결재함 &gt; 출퇴근 탭에서 수정 요청 확인 &gt; 승인</t>
        </is>
      </c>
      <c r="G16" s="5" t="inlineStr">
        <is>
          <t>출퇴근 수정이 승인되고 기록에 반영됨</t>
        </is>
      </c>
      <c r="H16" s="6" t="n"/>
      <c r="I16" s="6" t="n"/>
      <c r="J16" s="6" t="n"/>
      <c r="K16" s="6" t="n"/>
    </row>
    <row r="17" ht="60" customHeight="1">
      <c r="A17" s="5" t="n">
        <v>16</v>
      </c>
      <c r="B17" s="5" t="inlineStr">
        <is>
          <t>급여 결재</t>
        </is>
      </c>
      <c r="C17" s="5" t="inlineStr">
        <is>
          <t>HR_ADMIN</t>
        </is>
      </c>
      <c r="D17" s="5" t="inlineStr">
        <is>
          <t>급여 실행 승인 요청 건 존재</t>
        </is>
      </c>
      <c r="E17" s="5" t="inlineStr"/>
      <c r="F17" s="5" t="inlineStr">
        <is>
          <t>결재함에서 급여 실행 승인 요청 확인 &gt; 승인</t>
        </is>
      </c>
      <c r="G17" s="5" t="inlineStr">
        <is>
          <t>급여 실행이 최종 승인됨 (KR 2단계)</t>
        </is>
      </c>
      <c r="H17" s="6" t="n"/>
      <c r="I17" s="6" t="n"/>
      <c r="J17" s="6" t="n"/>
      <c r="K17" s="6" t="n"/>
    </row>
    <row r="18" ht="60" customHeight="1">
      <c r="A18" s="5" t="n">
        <v>17</v>
      </c>
      <c r="B18" s="5" t="inlineStr">
        <is>
          <t>비정기 보상 결재</t>
        </is>
      </c>
      <c r="C18" s="5" t="inlineStr">
        <is>
          <t>HR_ADMIN</t>
        </is>
      </c>
      <c r="D18" s="5" t="inlineStr">
        <is>
          <t>비정기 보상 결재 건 존재</t>
        </is>
      </c>
      <c r="E18" s="5" t="inlineStr"/>
      <c r="F18" s="5" t="inlineStr">
        <is>
          <t>결재함에서 비정기 보상 요청 확인 &gt; 승인</t>
        </is>
      </c>
      <c r="G18" s="5" t="inlineStr">
        <is>
          <t>비정기 보상이 승인되고 해당 직원 급여에 반영됨 (Off-Cycle Workflow)</t>
        </is>
      </c>
      <c r="H18" s="6" t="n"/>
      <c r="I18" s="6" t="n"/>
      <c r="J18" s="6" t="n"/>
      <c r="K18" s="6" t="n"/>
    </row>
    <row r="19" ht="60" customHeight="1">
      <c r="A19" s="5" t="n">
        <v>18</v>
      </c>
      <c r="B19" s="5" t="inlineStr">
        <is>
          <t>결재 이력 조회</t>
        </is>
      </c>
      <c r="C19" s="5" t="inlineStr">
        <is>
          <t>EMPLOYEE (employee-a@ctr.co.kr)</t>
        </is>
      </c>
      <c r="D19" s="5" t="inlineStr">
        <is>
          <t>이전 결재 건 존재</t>
        </is>
      </c>
      <c r="E19" s="5" t="inlineStr"/>
      <c r="F19" s="5" t="inlineStr">
        <is>
          <t>결재 &gt; 내 신청 내역 확인</t>
        </is>
      </c>
      <c r="G19" s="5" t="inlineStr">
        <is>
          <t>본인이 신청한 결재 건의 이력(상태, 승인일, 결재자)이 표시됨</t>
        </is>
      </c>
      <c r="H19" s="6" t="n"/>
      <c r="I19" s="6" t="n"/>
      <c r="J19" s="6" t="n"/>
      <c r="K19" s="6" t="n"/>
    </row>
    <row r="20" ht="60" customHeight="1">
      <c r="A20" s="5" t="n">
        <v>19</v>
      </c>
      <c r="B20" s="5" t="inlineStr">
        <is>
          <t>결재 철회</t>
        </is>
      </c>
      <c r="C20" s="5" t="inlineStr">
        <is>
          <t>EMPLOYEE (employee-a@ctr.co.kr)</t>
        </is>
      </c>
      <c r="D20" s="5" t="inlineStr">
        <is>
          <t>승인 대기 중인 결재 건 존재</t>
        </is>
      </c>
      <c r="E20" s="5" t="inlineStr"/>
      <c r="F20" s="5" t="inlineStr">
        <is>
          <t>내 신청 내역에서 대기 건 선택 &gt; 철회</t>
        </is>
      </c>
      <c r="G20" s="5" t="inlineStr">
        <is>
          <t>결재 요청이 철회되고 상태가 "철회"로 변경됨</t>
        </is>
      </c>
      <c r="H20" s="6" t="n"/>
      <c r="I20" s="6" t="n"/>
      <c r="J20" s="6" t="n"/>
      <c r="K20" s="6" t="n"/>
    </row>
    <row r="21" ht="60" customHeight="1">
      <c r="A21" s="5" t="n">
        <v>20</v>
      </c>
      <c r="B21" s="5" t="inlineStr">
        <is>
          <t>매니저 없는 직원 결재 라인</t>
        </is>
      </c>
      <c r="C21" s="5" t="inlineStr">
        <is>
          <t>HR_ADMIN</t>
        </is>
      </c>
      <c r="D21" s="5" t="inlineStr">
        <is>
          <t>EDGE-011 시드 데이터 존재</t>
        </is>
      </c>
      <c r="E21" s="5" t="inlineStr">
        <is>
          <t>윤대표 (EDGE-011)</t>
        </is>
      </c>
      <c r="F21" s="5" t="inlineStr">
        <is>
          <t>윤대표(상위 보고자 없음)의 결재 라인 확인</t>
        </is>
      </c>
      <c r="G21" s="5" t="inlineStr">
        <is>
          <t>매니저 없는 직원의 결재가 스킵되거나 HR로 직접 전달됨</t>
        </is>
      </c>
      <c r="H21" s="6" t="n"/>
      <c r="I21" s="6" t="n"/>
      <c r="J21" s="6" t="n"/>
      <c r="K21" s="6" t="n"/>
    </row>
    <row r="22" ht="60" customHeight="1">
      <c r="A22" s="7" t="n">
        <v>21</v>
      </c>
      <c r="B22" s="7" t="inlineStr">
        <is>
          <t>동시 결재 race protection</t>
        </is>
      </c>
      <c r="C22" s="7" t="inlineStr">
        <is>
          <t>MANAGER × 2</t>
        </is>
      </c>
      <c r="D22" s="7" t="inlineStr">
        <is>
          <t>동일 결재 건 더블 클릭</t>
        </is>
      </c>
      <c r="E22" s="7" t="inlineStr">
        <is>
          <t>같은 사용자가 동시에 결재 버튼 2회 클릭 또는 mixed approve/reject</t>
        </is>
      </c>
      <c r="F22" s="7" t="inlineStr">
        <is>
          <t>결재함에서 같은 건 빠른 연속 클릭</t>
        </is>
      </c>
      <c r="G22" s="7" t="inlineStr">
        <is>
          <t>updateMany + status="PENDING" race protection으로 첫 클릭만 처리됨 (Session 211 PR #20)</t>
        </is>
      </c>
      <c r="H22" s="6" t="n"/>
      <c r="I22" s="6" t="n"/>
      <c r="J22" s="6" t="n"/>
      <c r="K22" s="6" t="n"/>
    </row>
    <row r="23" ht="60" customHeight="1">
      <c r="A23" s="5" t="n">
        <v>22</v>
      </c>
      <c r="B23" s="5" t="inlineStr">
        <is>
          <t>일괄 결재</t>
        </is>
      </c>
      <c r="C23" s="5" t="inlineStr">
        <is>
          <t>MANAGER (manager@ctr.co.kr)</t>
        </is>
      </c>
      <c r="D23" s="5" t="inlineStr">
        <is>
          <t>복수 결재 대기 건 존재</t>
        </is>
      </c>
      <c r="E23" s="5" t="inlineStr"/>
      <c r="F23" s="5" t="inlineStr">
        <is>
          <t>결재함에서 복수 건 선택 &gt; 일괄 승인</t>
        </is>
      </c>
      <c r="G23" s="5" t="inlineStr">
        <is>
          <t>선택한 건들이 일괄로 승인 처리됨</t>
        </is>
      </c>
      <c r="H23" s="6" t="n"/>
      <c r="I23" s="6" t="n"/>
      <c r="J23" s="6" t="n"/>
      <c r="K23" s="6" t="n"/>
    </row>
  </sheetData>
  <conditionalFormatting sqref="I2:I2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23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5" t="n">
        <v>1</v>
      </c>
      <c r="B2" s="5" t="inlineStr">
        <is>
          <t>법인 기본정보 확인</t>
        </is>
      </c>
      <c r="C2" s="5" t="inlineStr">
        <is>
          <t>HR_ADMIN</t>
        </is>
      </c>
      <c r="D2" s="5" t="inlineStr">
        <is>
          <t>로그인 완료</t>
        </is>
      </c>
      <c r="E2" s="5" t="inlineStr"/>
      <c r="F2" s="5" t="inlineStr">
        <is>
          <t>설정 &gt; 조직 &gt; 법인 기본정보 확인</t>
        </is>
      </c>
      <c r="G2" s="5" t="inlineStr">
        <is>
          <t>법인 코드, 사업자번호, 주소 등 기본정보가 정확히 표시됨</t>
        </is>
      </c>
      <c r="H2" s="6" t="n"/>
      <c r="I2" s="6" t="n"/>
      <c r="J2" s="6" t="n"/>
      <c r="K2" s="6" t="n"/>
    </row>
    <row r="3" ht="60" customHeight="1">
      <c r="A3" s="5" t="n">
        <v>2</v>
      </c>
      <c r="B3" s="5" t="inlineStr">
        <is>
          <t>법인 정보 수정</t>
        </is>
      </c>
      <c r="C3" s="5" t="inlineStr">
        <is>
          <t>HR_ADMIN</t>
        </is>
      </c>
      <c r="D3" s="5" t="inlineStr">
        <is>
          <t>Step 1 완료</t>
        </is>
      </c>
      <c r="E3" s="5" t="inlineStr">
        <is>
          <t>변경: 대표번호 수정</t>
        </is>
      </c>
      <c r="F3" s="5" t="inlineStr">
        <is>
          <t>법인 정보에서 대표번호 수정 &gt; 저장</t>
        </is>
      </c>
      <c r="G3" s="5" t="inlineStr">
        <is>
          <t>변경사항이 저장되고 반영됨</t>
        </is>
      </c>
      <c r="H3" s="6" t="n"/>
      <c r="I3" s="6" t="n"/>
      <c r="J3" s="6" t="n"/>
      <c r="K3" s="6" t="n"/>
    </row>
    <row r="4" ht="60" customHeight="1">
      <c r="A4" s="5" t="n">
        <v>3</v>
      </c>
      <c r="B4" s="5" t="inlineStr">
        <is>
          <t>부서 구조 조회</t>
        </is>
      </c>
      <c r="C4" s="5" t="inlineStr">
        <is>
          <t>HR_ADMIN</t>
        </is>
      </c>
      <c r="D4" s="5" t="inlineStr">
        <is>
          <t>로그인 완료</t>
        </is>
      </c>
      <c r="E4" s="5" t="inlineStr"/>
      <c r="F4" s="5" t="inlineStr">
        <is>
          <t>설정 &gt; 조직 &gt; 부서 관리 클릭</t>
        </is>
      </c>
      <c r="G4" s="5" t="inlineStr">
        <is>
          <t>부서 트리 구조가 표시되고 상위-하위 관계가 정확함</t>
        </is>
      </c>
      <c r="H4" s="6" t="n"/>
      <c r="I4" s="6" t="n"/>
      <c r="J4" s="6" t="n"/>
      <c r="K4" s="6" t="n"/>
    </row>
    <row r="5" ht="60" customHeight="1">
      <c r="A5" s="5" t="n">
        <v>4</v>
      </c>
      <c r="B5" s="5" t="inlineStr">
        <is>
          <t>부서 추가</t>
        </is>
      </c>
      <c r="C5" s="5" t="inlineStr">
        <is>
          <t>HR_ADMIN</t>
        </is>
      </c>
      <c r="D5" s="5" t="inlineStr">
        <is>
          <t>Step 3 완료</t>
        </is>
      </c>
      <c r="E5" s="5" t="inlineStr">
        <is>
          <t>새 부서: AI연구팀 (상위: 개발부)</t>
        </is>
      </c>
      <c r="F5" s="5" t="inlineStr">
        <is>
          <t>부서 관리 &gt; 부서 추가 &gt; 부서명, 상위부서 입력 &gt; 저장</t>
        </is>
      </c>
      <c r="G5" s="5" t="inlineStr">
        <is>
          <t>새 부서가 생성되고 트리에 올바른 위치에 표시됨</t>
        </is>
      </c>
      <c r="H5" s="6" t="n"/>
      <c r="I5" s="6" t="n"/>
      <c r="J5" s="6" t="n"/>
      <c r="K5" s="6" t="n"/>
    </row>
    <row r="6" ht="60" customHeight="1">
      <c r="A6" s="7" t="n">
        <v>5</v>
      </c>
      <c r="B6" s="7" t="inlineStr">
        <is>
          <t>부서장 지정 (Department.head_employee_id)</t>
        </is>
      </c>
      <c r="C6" s="7" t="inlineStr">
        <is>
          <t>HR_ADMIN</t>
        </is>
      </c>
      <c r="D6" s="7" t="inlineStr">
        <is>
          <t>Step 3 완료</t>
        </is>
      </c>
      <c r="E6" s="7" t="inlineStr">
        <is>
          <t>대상 부서: QA-TEAM-A, 부서장: 박준혁</t>
        </is>
      </c>
      <c r="F6" s="7" t="inlineStr">
        <is>
          <t>부서 관리 &gt; 해당 부서 선택 &gt; 부서장 지정 &gt; 박준혁 선택</t>
        </is>
      </c>
      <c r="G6" s="7" t="inlineStr">
        <is>
          <t>Department.head_employee_id가 박준혁으로 설정되고 dept_head 결재 라우팅에 반영됨</t>
        </is>
      </c>
      <c r="H6" s="6" t="n"/>
      <c r="I6" s="6" t="n"/>
      <c r="J6" s="6" t="n"/>
      <c r="K6" s="6" t="n"/>
    </row>
    <row r="7" ht="60" customHeight="1">
      <c r="A7" s="5" t="n">
        <v>6</v>
      </c>
      <c r="B7" s="5" t="inlineStr">
        <is>
          <t>직위 관리</t>
        </is>
      </c>
      <c r="C7" s="5" t="inlineStr">
        <is>
          <t>HR_ADMIN</t>
        </is>
      </c>
      <c r="D7" s="5" t="inlineStr">
        <is>
          <t>로그인 완료</t>
        </is>
      </c>
      <c r="E7" s="5" t="inlineStr"/>
      <c r="F7" s="5" t="inlineStr">
        <is>
          <t>설정 &gt; 조직 &gt; 직위 관리 확인</t>
        </is>
      </c>
      <c r="G7" s="5" t="inlineStr">
        <is>
          <t>직위 목록(대표/본부장/팀장/책임/선임/사원 등)이 표시됨</t>
        </is>
      </c>
      <c r="H7" s="6" t="n"/>
      <c r="I7" s="6" t="n"/>
      <c r="J7" s="6" t="n"/>
      <c r="K7" s="6" t="n"/>
    </row>
    <row r="8" ht="60" customHeight="1">
      <c r="A8" s="7" t="n">
        <v>7</v>
      </c>
      <c r="B8" s="7" t="inlineStr">
        <is>
          <t>직급 체계 확인 (Session 167 전환)</t>
        </is>
      </c>
      <c r="C8" s="7" t="inlineStr">
        <is>
          <t>HR_ADMIN</t>
        </is>
      </c>
      <c r="D8" s="7" t="inlineStr">
        <is>
          <t>로그인 완료</t>
        </is>
      </c>
      <c r="E8" s="7" t="inlineStr"/>
      <c r="F8" s="7" t="inlineStr">
        <is>
          <t>설정 &gt; 조직 &gt; 직급 관리에서 L/E/S 체계 확인</t>
        </is>
      </c>
      <c r="G8" s="7" t="inlineStr">
        <is>
          <t>국내 직급 E1/S1/L2/L1 (4단계) + 해외 직급 L1~L5/S1/E1 (7단계)이 정확히 표시됨</t>
        </is>
      </c>
      <c r="H8" s="6" t="n"/>
      <c r="I8" s="6" t="n"/>
      <c r="J8" s="6" t="n"/>
      <c r="K8" s="6" t="n"/>
    </row>
    <row r="9" ht="60" customHeight="1">
      <c r="A9" s="5" t="n">
        <v>8</v>
      </c>
      <c r="B9" s="5" t="inlineStr">
        <is>
          <t>직종/직무 관리</t>
        </is>
      </c>
      <c r="C9" s="5" t="inlineStr">
        <is>
          <t>HR_ADMIN</t>
        </is>
      </c>
      <c r="D9" s="5" t="inlineStr">
        <is>
          <t>로그인 완료</t>
        </is>
      </c>
      <c r="E9" s="5" t="inlineStr"/>
      <c r="F9" s="5" t="inlineStr">
        <is>
          <t>설정 &gt; 조직 &gt; 직종/직무 관리 확인</t>
        </is>
      </c>
      <c r="G9" s="5" t="inlineStr">
        <is>
          <t>직종(기술, 경영 등)과 직무 목록이 표시됨</t>
        </is>
      </c>
      <c r="H9" s="6" t="n"/>
      <c r="I9" s="6" t="n"/>
      <c r="J9" s="6" t="n"/>
      <c r="K9" s="6" t="n"/>
    </row>
    <row r="10" ht="60" customHeight="1">
      <c r="A10" s="5" t="n">
        <v>9</v>
      </c>
      <c r="B10" s="5" t="inlineStr">
        <is>
          <t>발령 규칙 확인</t>
        </is>
      </c>
      <c r="C10" s="5" t="inlineStr">
        <is>
          <t>HR_ADMIN</t>
        </is>
      </c>
      <c r="D10" s="5" t="inlineStr">
        <is>
          <t>로그인 완료</t>
        </is>
      </c>
      <c r="E10" s="5" t="inlineStr"/>
      <c r="F10" s="5" t="inlineStr">
        <is>
          <t>설정 &gt; 조직 &gt; 발령 규칙 확인</t>
        </is>
      </c>
      <c r="G10" s="5" t="inlineStr">
        <is>
          <t>발령 유형별 규칙(승진 요건, 이동 제한 등)이 설정되어 있음</t>
        </is>
      </c>
      <c r="H10" s="6" t="n"/>
      <c r="I10" s="6" t="n"/>
      <c r="J10" s="6" t="n"/>
      <c r="K10" s="6" t="n"/>
    </row>
    <row r="11" ht="60" customHeight="1">
      <c r="A11" s="5" t="n">
        <v>10</v>
      </c>
      <c r="B11" s="5" t="inlineStr">
        <is>
          <t>수습 기간 설정</t>
        </is>
      </c>
      <c r="C11" s="5" t="inlineStr">
        <is>
          <t>HR_ADMIN</t>
        </is>
      </c>
      <c r="D11" s="5" t="inlineStr">
        <is>
          <t>로그인 완료</t>
        </is>
      </c>
      <c r="E11" s="5" t="inlineStr"/>
      <c r="F11" s="5" t="inlineStr">
        <is>
          <t>설정 &gt; 조직 &gt; 수습 기간 설정 확인</t>
        </is>
      </c>
      <c r="G11" s="5" t="inlineStr">
        <is>
          <t>수습 기간(3개월/6개월 등)이 설정되어 있음</t>
        </is>
      </c>
      <c r="H11" s="6" t="n"/>
      <c r="I11" s="6" t="n"/>
      <c r="J11" s="6" t="n"/>
      <c r="K11" s="6" t="n"/>
    </row>
    <row r="12" ht="60" customHeight="1">
      <c r="A12" s="5" t="n">
        <v>11</v>
      </c>
      <c r="B12" s="5" t="inlineStr">
        <is>
          <t>커스텀 필드 관리</t>
        </is>
      </c>
      <c r="C12" s="5" t="inlineStr">
        <is>
          <t>HR_ADMIN</t>
        </is>
      </c>
      <c r="D12" s="5" t="inlineStr">
        <is>
          <t>로그인 완료</t>
        </is>
      </c>
      <c r="E12" s="5" t="inlineStr"/>
      <c r="F12" s="5" t="inlineStr">
        <is>
          <t>설정 &gt; 조직 &gt; 커스텀 필드 관리 확인</t>
        </is>
      </c>
      <c r="G12" s="5" t="inlineStr">
        <is>
          <t>사용자 정의 필드 목록이 표시되고 추가/수정 가능</t>
        </is>
      </c>
      <c r="H12" s="6" t="n"/>
      <c r="I12" s="6" t="n"/>
      <c r="J12" s="6" t="n"/>
      <c r="K12" s="6" t="n"/>
    </row>
    <row r="13" ht="60" customHeight="1">
      <c r="A13" s="5" t="n">
        <v>12</v>
      </c>
      <c r="B13" s="5" t="inlineStr">
        <is>
          <t>코드 관리</t>
        </is>
      </c>
      <c r="C13" s="5" t="inlineStr">
        <is>
          <t>HR_ADMIN</t>
        </is>
      </c>
      <c r="D13" s="5" t="inlineStr">
        <is>
          <t>로그인 완료</t>
        </is>
      </c>
      <c r="E13" s="5" t="inlineStr"/>
      <c r="F13" s="5" t="inlineStr">
        <is>
          <t>설정 &gt; 조직 &gt; 코드 관리 확인</t>
        </is>
      </c>
      <c r="G13" s="5" t="inlineStr">
        <is>
          <t>시스템 코드(고용형태, 발령유형 등) 목록이 관리 가능</t>
        </is>
      </c>
      <c r="H13" s="6" t="n"/>
      <c r="I13" s="6" t="n"/>
      <c r="J13" s="6" t="n"/>
      <c r="K13" s="6" t="n"/>
    </row>
    <row r="14" ht="60" customHeight="1">
      <c r="A14" s="5" t="n">
        <v>13</v>
      </c>
      <c r="B14" s="5" t="inlineStr">
        <is>
          <t>근무지 관리</t>
        </is>
      </c>
      <c r="C14" s="5" t="inlineStr">
        <is>
          <t>HR_ADMIN</t>
        </is>
      </c>
      <c r="D14" s="5" t="inlineStr">
        <is>
          <t>로그인 완료</t>
        </is>
      </c>
      <c r="E14" s="5" t="inlineStr"/>
      <c r="F14" s="5" t="inlineStr">
        <is>
          <t>설정 &gt; 조직 &gt; 근무지 관리 확인</t>
        </is>
      </c>
      <c r="G14" s="5" t="inlineStr">
        <is>
          <t>근무지 목록(본사, 지사 등)이 표시되고 위치 정보 확인 가능</t>
        </is>
      </c>
      <c r="H14" s="6" t="n"/>
      <c r="I14" s="6" t="n"/>
      <c r="J14" s="6" t="n"/>
      <c r="K14" s="6" t="n"/>
    </row>
    <row r="15" ht="60" customHeight="1">
      <c r="A15" s="5" t="n">
        <v>14</v>
      </c>
      <c r="B15" s="5" t="inlineStr">
        <is>
          <t>근무 스케줄 확인</t>
        </is>
      </c>
      <c r="C15" s="5" t="inlineStr">
        <is>
          <t>HR_ADMIN</t>
        </is>
      </c>
      <c r="D15" s="5" t="inlineStr">
        <is>
          <t>로그인 완료</t>
        </is>
      </c>
      <c r="E15" s="5" t="inlineStr"/>
      <c r="F15" s="5" t="inlineStr">
        <is>
          <t>설정 &gt; 출퇴근 &gt; 근무 스케줄 확인</t>
        </is>
      </c>
      <c r="G15" s="5" t="inlineStr">
        <is>
          <t>기본 근무 스케줄(출근 09:00, 퇴근 18:00 등)이 설정되어 있음</t>
        </is>
      </c>
      <c r="H15" s="6" t="n"/>
      <c r="I15" s="6" t="n"/>
      <c r="J15" s="6" t="n"/>
      <c r="K15" s="6" t="n"/>
    </row>
    <row r="16" ht="60" customHeight="1">
      <c r="A16" s="5" t="n">
        <v>15</v>
      </c>
      <c r="B16" s="5" t="inlineStr">
        <is>
          <t>근무 스케줄 수정</t>
        </is>
      </c>
      <c r="C16" s="5" t="inlineStr">
        <is>
          <t>HR_ADMIN</t>
        </is>
      </c>
      <c r="D16" s="5" t="inlineStr">
        <is>
          <t>Step 14 완료</t>
        </is>
      </c>
      <c r="E16" s="5" t="inlineStr">
        <is>
          <t>변경: 유연근무제 점심시간 12:00~13:00</t>
        </is>
      </c>
      <c r="F16" s="5" t="inlineStr">
        <is>
          <t>근무 스케줄 수정 &gt; 저장</t>
        </is>
      </c>
      <c r="G16" s="5" t="inlineStr">
        <is>
          <t>변경된 스케줄이 저장되고 반영됨</t>
        </is>
      </c>
      <c r="H16" s="6" t="n"/>
      <c r="I16" s="6" t="n"/>
      <c r="J16" s="6" t="n"/>
      <c r="K16" s="6" t="n"/>
    </row>
    <row r="17" ht="60" customHeight="1">
      <c r="A17" s="5" t="n">
        <v>16</v>
      </c>
      <c r="B17" s="5" t="inlineStr">
        <is>
          <t>주 52시간 한도 설정</t>
        </is>
      </c>
      <c r="C17" s="5" t="inlineStr">
        <is>
          <t>HR_ADMIN</t>
        </is>
      </c>
      <c r="D17" s="5" t="inlineStr">
        <is>
          <t>로그인 완료</t>
        </is>
      </c>
      <c r="E17" s="5" t="inlineStr"/>
      <c r="F17" s="5" t="inlineStr">
        <is>
          <t>설정 &gt; 출퇴근 &gt; 근무한도에서 52시간 설정 확인</t>
        </is>
      </c>
      <c r="G17" s="5" t="inlineStr">
        <is>
          <t>주 52시간 한도가 설정되어 있고 경고 임계값이 확인됨</t>
        </is>
      </c>
      <c r="H17" s="6" t="n"/>
      <c r="I17" s="6" t="n"/>
      <c r="J17" s="6" t="n"/>
      <c r="K17" s="6" t="n"/>
    </row>
    <row r="18" ht="60" customHeight="1">
      <c r="A18" s="5" t="n">
        <v>17</v>
      </c>
      <c r="B18" s="5" t="inlineStr">
        <is>
          <t>교대근무 패턴</t>
        </is>
      </c>
      <c r="C18" s="5" t="inlineStr">
        <is>
          <t>HR_ADMIN</t>
        </is>
      </c>
      <c r="D18" s="5" t="inlineStr">
        <is>
          <t>로그인 완료</t>
        </is>
      </c>
      <c r="E18" s="5" t="inlineStr"/>
      <c r="F18" s="5" t="inlineStr">
        <is>
          <t>설정 &gt; 출퇴근 &gt; 교대근무 패턴 확인</t>
        </is>
      </c>
      <c r="G18" s="5" t="inlineStr">
        <is>
          <t>교대근무 패턴(주간/야간/3교대 등)이 설정되어 있음</t>
        </is>
      </c>
      <c r="H18" s="6" t="n"/>
      <c r="I18" s="6" t="n"/>
      <c r="J18" s="6" t="n"/>
      <c r="K18" s="6" t="n"/>
    </row>
    <row r="19" ht="60" customHeight="1">
      <c r="A19" s="5" t="n">
        <v>18</v>
      </c>
      <c r="B19" s="5" t="inlineStr">
        <is>
          <t>휴가 유형 확인</t>
        </is>
      </c>
      <c r="C19" s="5" t="inlineStr">
        <is>
          <t>HR_ADMIN</t>
        </is>
      </c>
      <c r="D19" s="5" t="inlineStr">
        <is>
          <t>로그인 완료</t>
        </is>
      </c>
      <c r="E19" s="5" t="inlineStr"/>
      <c r="F19" s="5" t="inlineStr">
        <is>
          <t>설정 &gt; 휴가 &gt; 휴가 유형 관리 확인</t>
        </is>
      </c>
      <c r="G19" s="5" t="inlineStr">
        <is>
          <t>연차, 병가, 경조사, 출산휴가 등 휴가 유형이 6 카테고리로 그룹핑되어 표시됨</t>
        </is>
      </c>
      <c r="H19" s="6" t="n"/>
      <c r="I19" s="6" t="n"/>
      <c r="J19" s="6" t="n"/>
      <c r="K19" s="6" t="n"/>
    </row>
    <row r="20" ht="60" customHeight="1">
      <c r="A20" s="5" t="n">
        <v>19</v>
      </c>
      <c r="B20" s="5" t="inlineStr">
        <is>
          <t>휴가 부여 규칙</t>
        </is>
      </c>
      <c r="C20" s="5" t="inlineStr">
        <is>
          <t>HR_ADMIN</t>
        </is>
      </c>
      <c r="D20" s="5" t="inlineStr">
        <is>
          <t>로그인 완료</t>
        </is>
      </c>
      <c r="E20" s="5" t="inlineStr"/>
      <c r="F20" s="5" t="inlineStr">
        <is>
          <t>설정 &gt; 휴가 &gt; 부여 규칙 확인</t>
        </is>
      </c>
      <c r="G20" s="5" t="inlineStr">
        <is>
          <t>근속연수별 연차 부여 규칙이 설정되어 있음</t>
        </is>
      </c>
      <c r="H20" s="6" t="n"/>
      <c r="I20" s="6" t="n"/>
      <c r="J20" s="6" t="n"/>
      <c r="K20" s="6" t="n"/>
    </row>
    <row r="21" ht="60" customHeight="1">
      <c r="A21" s="7" t="n">
        <v>20</v>
      </c>
      <c r="B21" s="7" t="inlineStr">
        <is>
          <t>지정연차 관리</t>
        </is>
      </c>
      <c r="C21" s="7" t="inlineStr">
        <is>
          <t>HR_ADMIN</t>
        </is>
      </c>
      <c r="D21" s="7" t="inlineStr">
        <is>
          <t>로그인 완료</t>
        </is>
      </c>
      <c r="E21" s="7" t="inlineStr"/>
      <c r="F21" s="7" t="inlineStr">
        <is>
          <t>설정 &gt; 휴가 &gt; 지정연차 관리 확인</t>
        </is>
      </c>
      <c r="G21" s="7" t="inlineStr">
        <is>
          <t>회사 지정 연차일 등록/관리 기능이 제공됨 (DesignatedLeaveDay)</t>
        </is>
      </c>
      <c r="H21" s="6" t="n"/>
      <c r="I21" s="6" t="n"/>
      <c r="J21" s="6" t="n"/>
      <c r="K21" s="6" t="n"/>
    </row>
    <row r="22" ht="60" customHeight="1">
      <c r="A22" s="5" t="n">
        <v>21</v>
      </c>
      <c r="B22" s="5" t="inlineStr">
        <is>
          <t>법정 공휴일 캘린더</t>
        </is>
      </c>
      <c r="C22" s="5" t="inlineStr">
        <is>
          <t>HR_ADMIN</t>
        </is>
      </c>
      <c r="D22" s="5" t="inlineStr">
        <is>
          <t>로그인 완료</t>
        </is>
      </c>
      <c r="E22" s="5" t="inlineStr"/>
      <c r="F22" s="5" t="inlineStr">
        <is>
          <t>설정 &gt; 휴가 &gt; 공휴일 캘린더 확인</t>
        </is>
      </c>
      <c r="G22" s="5" t="inlineStr">
        <is>
          <t>한국 법정 공휴일이 등록되어 있고 연도별 관리 가능 (해외 5개 법인은 매뉴얼 §9 #2 알려진 제약)</t>
        </is>
      </c>
      <c r="H22" s="6" t="n"/>
      <c r="I22" s="6" t="n"/>
      <c r="J22" s="6" t="n"/>
      <c r="K22" s="6" t="n"/>
    </row>
    <row r="23" ht="60" customHeight="1">
      <c r="A23" s="5" t="n">
        <v>22</v>
      </c>
      <c r="B23" s="5" t="inlineStr">
        <is>
          <t>초과근무 설정</t>
        </is>
      </c>
      <c r="C23" s="5" t="inlineStr">
        <is>
          <t>HR_ADMIN</t>
        </is>
      </c>
      <c r="D23" s="5" t="inlineStr">
        <is>
          <t>로그인 완료</t>
        </is>
      </c>
      <c r="E23" s="5" t="inlineStr"/>
      <c r="F23" s="5" t="inlineStr">
        <is>
          <t>설정 &gt; 출퇴근 &gt; 초과근무 설정 확인</t>
        </is>
      </c>
      <c r="G23" s="5" t="inlineStr">
        <is>
          <t>초과근무 승인 방식, 수당 계산 규칙이 설정되어 있음</t>
        </is>
      </c>
      <c r="H23" s="6" t="n"/>
      <c r="I23" s="6" t="n"/>
      <c r="J23" s="6" t="n"/>
      <c r="K23" s="6" t="n"/>
    </row>
    <row r="24" ht="60" customHeight="1">
      <c r="A24" s="5" t="n">
        <v>23</v>
      </c>
      <c r="B24" s="5" t="inlineStr">
        <is>
          <t>휴직 유형 관리</t>
        </is>
      </c>
      <c r="C24" s="5" t="inlineStr">
        <is>
          <t>HR_ADMIN</t>
        </is>
      </c>
      <c r="D24" s="5" t="inlineStr">
        <is>
          <t>로그인 완료</t>
        </is>
      </c>
      <c r="E24" s="5" t="inlineStr"/>
      <c r="F24" s="5" t="inlineStr">
        <is>
          <t>설정 &gt; 휴가 &gt; 휴직 유형 관리 확인</t>
        </is>
      </c>
      <c r="G24" s="5" t="inlineStr">
        <is>
          <t>육아휴직, 병간호휴직, 개인사유 등 휴직 유형이 관리 가능 (LeaveOfAbsenceType)</t>
        </is>
      </c>
      <c r="H24" s="6" t="n"/>
      <c r="I24" s="6" t="n"/>
      <c r="J24" s="6" t="n"/>
      <c r="K24" s="6" t="n"/>
    </row>
    <row r="25" ht="60" customHeight="1">
      <c r="A25" s="5" t="n">
        <v>24</v>
      </c>
      <c r="B25" s="5" t="inlineStr">
        <is>
          <t>급여 항목 관리</t>
        </is>
      </c>
      <c r="C25" s="5" t="inlineStr">
        <is>
          <t>HR_ADMIN</t>
        </is>
      </c>
      <c r="D25" s="5" t="inlineStr">
        <is>
          <t>로그인 완료</t>
        </is>
      </c>
      <c r="E25" s="5" t="inlineStr"/>
      <c r="F25" s="5" t="inlineStr">
        <is>
          <t>설정 &gt; 급여 &gt; 급여 항목 관리 확인</t>
        </is>
      </c>
      <c r="G25" s="5" t="inlineStr">
        <is>
          <t>기본급, 식대, 교통비 등 급여 항목이 목록으로 표시됨</t>
        </is>
      </c>
      <c r="H25" s="6" t="n"/>
      <c r="I25" s="6" t="n"/>
      <c r="J25" s="6" t="n"/>
      <c r="K25" s="6" t="n"/>
    </row>
    <row r="26" ht="60" customHeight="1">
      <c r="A26" s="5" t="n">
        <v>25</v>
      </c>
      <c r="B26" s="5" t="inlineStr">
        <is>
          <t>공제 항목 관리</t>
        </is>
      </c>
      <c r="C26" s="5" t="inlineStr">
        <is>
          <t>HR_ADMIN</t>
        </is>
      </c>
      <c r="D26" s="5" t="inlineStr">
        <is>
          <t>로그인 완료</t>
        </is>
      </c>
      <c r="E26" s="5" t="inlineStr"/>
      <c r="F26" s="5" t="inlineStr">
        <is>
          <t>설정 &gt; 급여 &gt; 공제 항목 관리 확인</t>
        </is>
      </c>
      <c r="G26" s="5" t="inlineStr">
        <is>
          <t>국민연금, 건강보험, 고용보험, 산재보험, 소득세 등 공제 항목이 표시됨</t>
        </is>
      </c>
      <c r="H26" s="6" t="n"/>
      <c r="I26" s="6" t="n"/>
      <c r="J26" s="6" t="n"/>
      <c r="K26" s="6" t="n"/>
    </row>
    <row r="27" ht="60" customHeight="1">
      <c r="A27" s="5" t="n">
        <v>26</v>
      </c>
      <c r="B27" s="5" t="inlineStr">
        <is>
          <t>비과세 한도 확인</t>
        </is>
      </c>
      <c r="C27" s="5" t="inlineStr">
        <is>
          <t>HR_ADMIN</t>
        </is>
      </c>
      <c r="D27" s="5" t="inlineStr">
        <is>
          <t>로그인 완료</t>
        </is>
      </c>
      <c r="E27" s="5" t="inlineStr"/>
      <c r="F27" s="5" t="inlineStr">
        <is>
          <t>설정 &gt; 급여 &gt; 비과세 한도 확인</t>
        </is>
      </c>
      <c r="G27" s="5" t="inlineStr">
        <is>
          <t>식대, 교통비 등 비과세 한도가 설정되어 있음</t>
        </is>
      </c>
      <c r="H27" s="6" t="n"/>
      <c r="I27" s="6" t="n"/>
      <c r="J27" s="6" t="n"/>
      <c r="K27" s="6" t="n"/>
    </row>
    <row r="28" ht="60" customHeight="1">
      <c r="A28" s="5" t="n">
        <v>27</v>
      </c>
      <c r="B28" s="5" t="inlineStr">
        <is>
          <t>연봉 밴드 확인</t>
        </is>
      </c>
      <c r="C28" s="5" t="inlineStr">
        <is>
          <t>HR_ADMIN</t>
        </is>
      </c>
      <c r="D28" s="5" t="inlineStr">
        <is>
          <t>로그인 완료</t>
        </is>
      </c>
      <c r="E28" s="5" t="inlineStr"/>
      <c r="F28" s="5" t="inlineStr">
        <is>
          <t>설정 &gt; 급여 &gt; 연봉 밴드 확인</t>
        </is>
      </c>
      <c r="G28" s="5" t="inlineStr">
        <is>
          <t>직급별 연봉 밴드(최소~최대) 범위가 설정되어 있음</t>
        </is>
      </c>
      <c r="H28" s="6" t="n"/>
      <c r="I28" s="6" t="n"/>
      <c r="J28" s="6" t="n"/>
      <c r="K28" s="6" t="n"/>
    </row>
    <row r="29" ht="60" customHeight="1">
      <c r="A29" s="5" t="n">
        <v>28</v>
      </c>
      <c r="B29" s="5" t="inlineStr">
        <is>
          <t>인상률 매트릭스</t>
        </is>
      </c>
      <c r="C29" s="5" t="inlineStr">
        <is>
          <t>HR_ADMIN</t>
        </is>
      </c>
      <c r="D29" s="5" t="inlineStr">
        <is>
          <t>로그인 완료</t>
        </is>
      </c>
      <c r="E29" s="5" t="inlineStr"/>
      <c r="F29" s="5" t="inlineStr">
        <is>
          <t>설정 &gt; 급여 &gt; 인상률 매트릭스 확인</t>
        </is>
      </c>
      <c r="G29" s="5" t="inlineStr">
        <is>
          <t>성과등급별 인상률 매트릭스가 설정되어 있음</t>
        </is>
      </c>
      <c r="H29" s="6" t="n"/>
      <c r="I29" s="6" t="n"/>
      <c r="J29" s="6" t="n"/>
      <c r="K29" s="6" t="n"/>
    </row>
    <row r="30" ht="60" customHeight="1">
      <c r="A30" s="5" t="n">
        <v>29</v>
      </c>
      <c r="B30" s="5" t="inlineStr">
        <is>
          <t>성과급 규칙</t>
        </is>
      </c>
      <c r="C30" s="5" t="inlineStr">
        <is>
          <t>HR_ADMIN</t>
        </is>
      </c>
      <c r="D30" s="5" t="inlineStr">
        <is>
          <t>로그인 완료</t>
        </is>
      </c>
      <c r="E30" s="5" t="inlineStr"/>
      <c r="F30" s="5" t="inlineStr">
        <is>
          <t>설정 &gt; 급여 &gt; 성과급 규칙 확인</t>
        </is>
      </c>
      <c r="G30" s="5" t="inlineStr">
        <is>
          <t>성과등급별 성과급 비율/금액 규칙이 설정되어 있음</t>
        </is>
      </c>
      <c r="H30" s="6" t="n"/>
      <c r="I30" s="6" t="n"/>
      <c r="J30" s="6" t="n"/>
      <c r="K30" s="6" t="n"/>
    </row>
    <row r="31" ht="60" customHeight="1">
      <c r="A31" s="5" t="n">
        <v>30</v>
      </c>
      <c r="B31" s="5" t="inlineStr">
        <is>
          <t>급여일 설정</t>
        </is>
      </c>
      <c r="C31" s="5" t="inlineStr">
        <is>
          <t>HR_ADMIN</t>
        </is>
      </c>
      <c r="D31" s="5" t="inlineStr">
        <is>
          <t>로그인 완료</t>
        </is>
      </c>
      <c r="E31" s="5" t="inlineStr"/>
      <c r="F31" s="5" t="inlineStr">
        <is>
          <t>설정 &gt; 급여 &gt; 급여일 설정 확인</t>
        </is>
      </c>
      <c r="G31" s="5" t="inlineStr">
        <is>
          <t>매월 급여일(25일 등)이 설정되어 있음</t>
        </is>
      </c>
      <c r="H31" s="6" t="n"/>
      <c r="I31" s="6" t="n"/>
      <c r="J31" s="6" t="n"/>
      <c r="K31" s="6" t="n"/>
    </row>
    <row r="32" ht="60" customHeight="1">
      <c r="A32" s="5" t="n">
        <v>31</v>
      </c>
      <c r="B32" s="5" t="inlineStr">
        <is>
          <t>통화/환율 관리</t>
        </is>
      </c>
      <c r="C32" s="5" t="inlineStr">
        <is>
          <t>HR_ADMIN</t>
        </is>
      </c>
      <c r="D32" s="5" t="inlineStr">
        <is>
          <t>로그인 완료</t>
        </is>
      </c>
      <c r="E32" s="5" t="inlineStr"/>
      <c r="F32" s="5" t="inlineStr">
        <is>
          <t>설정 &gt; 급여 &gt; 통화/환율 관리 확인</t>
        </is>
      </c>
      <c r="G32" s="5" t="inlineStr">
        <is>
          <t>해외 법인 통화(CNY, USD 등)와 환율이 관리 가능</t>
        </is>
      </c>
      <c r="H32" s="6" t="n"/>
      <c r="I32" s="6" t="n"/>
      <c r="J32" s="6" t="n"/>
      <c r="K32" s="6" t="n"/>
    </row>
    <row r="33" ht="60" customHeight="1">
      <c r="A33" s="5" t="n">
        <v>32</v>
      </c>
      <c r="B33" s="5" t="inlineStr">
        <is>
          <t>성과 평가 주기 설정</t>
        </is>
      </c>
      <c r="C33" s="5" t="inlineStr">
        <is>
          <t>HR_ADMIN</t>
        </is>
      </c>
      <c r="D33" s="5" t="inlineStr">
        <is>
          <t>로그인 완료</t>
        </is>
      </c>
      <c r="E33" s="5" t="inlineStr"/>
      <c r="F33" s="5" t="inlineStr">
        <is>
          <t>설정 &gt; 성과 &gt; 평가 주기 설정 확인</t>
        </is>
      </c>
      <c r="G33" s="5" t="inlineStr">
        <is>
          <t>연간/반기/분기 등 평가 주기가 설정되어 있음</t>
        </is>
      </c>
      <c r="H33" s="6" t="n"/>
      <c r="I33" s="6" t="n"/>
      <c r="J33" s="6" t="n"/>
      <c r="K33" s="6" t="n"/>
    </row>
    <row r="34" ht="60" customHeight="1">
      <c r="A34" s="5" t="n">
        <v>33</v>
      </c>
      <c r="B34" s="5" t="inlineStr">
        <is>
          <t>평가 항목 설정</t>
        </is>
      </c>
      <c r="C34" s="5" t="inlineStr">
        <is>
          <t>HR_ADMIN</t>
        </is>
      </c>
      <c r="D34" s="5" t="inlineStr">
        <is>
          <t>로그인 완료</t>
        </is>
      </c>
      <c r="E34" s="5" t="inlineStr"/>
      <c r="F34" s="5" t="inlineStr">
        <is>
          <t>설정 &gt; 성과 &gt; 평가 항목/가중치 확인</t>
        </is>
      </c>
      <c r="G34" s="5" t="inlineStr">
        <is>
          <t>역량평가, 업적평가 등 항목과 가중치가 설정되어 있음</t>
        </is>
      </c>
      <c r="H34" s="6" t="n"/>
      <c r="I34" s="6" t="n"/>
      <c r="J34" s="6" t="n"/>
      <c r="K34" s="6" t="n"/>
    </row>
    <row r="35" ht="60" customHeight="1">
      <c r="A35" s="5" t="n">
        <v>34</v>
      </c>
      <c r="B35" s="5" t="inlineStr">
        <is>
          <t>채용 파이프라인 설정</t>
        </is>
      </c>
      <c r="C35" s="5" t="inlineStr">
        <is>
          <t>HR_ADMIN</t>
        </is>
      </c>
      <c r="D35" s="5" t="inlineStr">
        <is>
          <t>로그인 완료</t>
        </is>
      </c>
      <c r="E35" s="5" t="inlineStr"/>
      <c r="F35" s="5" t="inlineStr">
        <is>
          <t>설정 &gt; 채용 &gt; 채용 파이프라인 설정 확인</t>
        </is>
      </c>
      <c r="G35" s="5" t="inlineStr">
        <is>
          <t>10-stage 파이프라인(서류→면접→오퍼→OFFER_ACCEPTED/DECLINED 등)이 설정되어 있음</t>
        </is>
      </c>
      <c r="H35" s="6" t="n"/>
      <c r="I35" s="6" t="n"/>
      <c r="J35" s="6" t="n"/>
      <c r="K35" s="6" t="n"/>
    </row>
    <row r="36" ht="60" customHeight="1">
      <c r="A36" s="5" t="n">
        <v>35</v>
      </c>
      <c r="B36" s="5" t="inlineStr">
        <is>
          <t>시스템 결재 플로우 설정</t>
        </is>
      </c>
      <c r="C36" s="5" t="inlineStr">
        <is>
          <t>HR_ADMIN</t>
        </is>
      </c>
      <c r="D36" s="5" t="inlineStr">
        <is>
          <t>로그인 완료</t>
        </is>
      </c>
      <c r="E36" s="5" t="inlineStr"/>
      <c r="F36" s="5" t="inlineStr">
        <is>
          <t>설정 &gt; 시스템 &gt; 결재 플로우 확인</t>
        </is>
      </c>
      <c r="G36" s="5" t="inlineStr">
        <is>
          <t>결재 유형별 결재 라인과 규칙이 설정되어 있음 (휴가 모듈 미연동 명시)</t>
        </is>
      </c>
      <c r="H36" s="6" t="n"/>
      <c r="I36" s="6" t="n"/>
      <c r="J36" s="6" t="n"/>
      <c r="K36" s="6" t="n"/>
    </row>
    <row r="37" ht="60" customHeight="1">
      <c r="A37" s="5" t="n">
        <v>36</v>
      </c>
      <c r="B37" s="5" t="inlineStr">
        <is>
          <t>알림 설정</t>
        </is>
      </c>
      <c r="C37" s="5" t="inlineStr">
        <is>
          <t>HR_ADMIN</t>
        </is>
      </c>
      <c r="D37" s="5" t="inlineStr">
        <is>
          <t>로그인 완료</t>
        </is>
      </c>
      <c r="E37" s="5" t="inlineStr"/>
      <c r="F37" s="5" t="inlineStr">
        <is>
          <t>설정 &gt; 시스템 &gt; 알림 설정 확인</t>
        </is>
      </c>
      <c r="G37" s="5" t="inlineStr">
        <is>
          <t>이메일/인앱/Teams/푸시 알림 유형별 설정이 관리 가능</t>
        </is>
      </c>
      <c r="H37" s="6" t="n"/>
      <c r="I37" s="6" t="n"/>
      <c r="J37" s="6" t="n"/>
      <c r="K37" s="6" t="n"/>
    </row>
    <row r="38" ht="60" customHeight="1">
      <c r="A38" s="5" t="n">
        <v>37</v>
      </c>
      <c r="B38" s="5" t="inlineStr">
        <is>
          <t>컴플라이언스 허브</t>
        </is>
      </c>
      <c r="C38" s="5" t="inlineStr">
        <is>
          <t>HR_ADMIN</t>
        </is>
      </c>
      <c r="D38" s="5" t="inlineStr">
        <is>
          <t>로그인 완료</t>
        </is>
      </c>
      <c r="E38" s="5" t="inlineStr"/>
      <c r="F38" s="5" t="inlineStr">
        <is>
          <t>설정 &gt; 컴플라이언스 클릭</t>
        </is>
      </c>
      <c r="G38" s="5" t="inlineStr">
        <is>
          <t>GDPR / DPIA / 데이터 보존 / PII 감사 / 국가별 노동법 준수 화면 진입 가능</t>
        </is>
      </c>
      <c r="H38" s="6" t="n"/>
      <c r="I38" s="6" t="n"/>
      <c r="J38" s="6" t="n"/>
      <c r="K38" s="6" t="n"/>
    </row>
  </sheetData>
  <conditionalFormatting sqref="I2:I3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38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5" t="n">
        <v>1</v>
      </c>
      <c r="B2" s="5" t="inlineStr">
        <is>
          <t>성과 대시보드 진입</t>
        </is>
      </c>
      <c r="C2" s="5" t="inlineStr">
        <is>
          <t>HR_ADMIN</t>
        </is>
      </c>
      <c r="D2" s="5" t="inlineStr">
        <is>
          <t>로그인 완료</t>
        </is>
      </c>
      <c r="E2" s="5" t="inlineStr"/>
      <c r="F2" s="5" t="inlineStr">
        <is>
          <t>좌측 메뉴 &gt; 성과/보상 &gt; 성과 관리 클릭</t>
        </is>
      </c>
      <c r="G2" s="5" t="inlineStr">
        <is>
          <t>성과 대시보드가 표시됨 (MBO/CFR 통계)</t>
        </is>
      </c>
      <c r="H2" s="6" t="n"/>
      <c r="I2" s="6" t="n"/>
      <c r="J2" s="6" t="n"/>
      <c r="K2" s="6" t="n"/>
    </row>
    <row r="3" ht="60" customHeight="1">
      <c r="A3" s="5" t="n">
        <v>2</v>
      </c>
      <c r="B3" s="5" t="inlineStr">
        <is>
          <t>새 목표 생성 (EMPLOYEE)</t>
        </is>
      </c>
      <c r="C3" s="5" t="inlineStr">
        <is>
          <t>EMPLOYEE (employee-a@ctr.co.kr)</t>
        </is>
      </c>
      <c r="D3" s="5" t="inlineStr">
        <is>
          <t>현재 평가 사이클 진행 중</t>
        </is>
      </c>
      <c r="E3" s="5" t="inlineStr">
        <is>
          <t>목표 제목/설명/측정 지표/기한</t>
        </is>
      </c>
      <c r="F3" s="5" t="inlineStr">
        <is>
          <t>나의 공간 &gt; 목표/평가 &gt; 새 목표 생성 &gt; 입력 &gt; 저장</t>
        </is>
      </c>
      <c r="G3" s="5" t="inlineStr">
        <is>
          <t>목표가 생성되고 진행률 0%로 표시됨</t>
        </is>
      </c>
      <c r="H3" s="6" t="n"/>
      <c r="I3" s="6" t="n"/>
      <c r="J3" s="6" t="n"/>
      <c r="K3" s="6" t="n"/>
    </row>
    <row r="4" ht="60" customHeight="1">
      <c r="A4" s="7" t="n">
        <v>3</v>
      </c>
      <c r="B4" s="7" t="inlineStr">
        <is>
          <t>GoalRevision 배치 수정</t>
        </is>
      </c>
      <c r="C4" s="7" t="inlineStr">
        <is>
          <t>EMPLOYEE / MANAGER</t>
        </is>
      </c>
      <c r="D4" s="7" t="inlineStr">
        <is>
          <t>Step 2 완료</t>
        </is>
      </c>
      <c r="E4" s="7" t="inlineStr">
        <is>
          <t>진행 중인 목표를 분기 중 수정</t>
        </is>
      </c>
      <c r="F4" s="7" t="inlineStr">
        <is>
          <t>목표 상세 &gt; 수정 &gt; 변경 사유 입력 &gt; 제출 → 매니저 승인</t>
        </is>
      </c>
      <c r="G4" s="7" t="inlineStr">
        <is>
          <t>목표 버전(GoalRevision)이 생성되고 이전 버전 이력 보존. QGP 분기 데이터 오염 방어 (기존 데이터는 이전 버전에 귀속)</t>
        </is>
      </c>
      <c r="H4" s="6" t="n"/>
      <c r="I4" s="6" t="n"/>
      <c r="J4" s="6" t="n"/>
      <c r="K4" s="6" t="n"/>
    </row>
    <row r="5" ht="60" customHeight="1">
      <c r="A5" s="5" t="n">
        <v>4</v>
      </c>
      <c r="B5" s="5" t="inlineStr">
        <is>
          <t>자기평가 작성</t>
        </is>
      </c>
      <c r="C5" s="5" t="inlineStr">
        <is>
          <t>EMPLOYEE (employee-a@ctr.co.kr)</t>
        </is>
      </c>
      <c r="D5" s="5" t="inlineStr">
        <is>
          <t>평가 사이클 자기평가 단계</t>
        </is>
      </c>
      <c r="E5" s="5" t="inlineStr"/>
      <c r="F5" s="5" t="inlineStr">
        <is>
          <t>/performance/self-eval 진입 &gt; 평가 항목별 점수 + 코멘트 입력 &gt; 제출</t>
        </is>
      </c>
      <c r="G5" s="5" t="inlineStr">
        <is>
          <t>자기평가가 제출되고 매니저 평가 단계로 전환됨</t>
        </is>
      </c>
      <c r="H5" s="6" t="n"/>
      <c r="I5" s="6" t="n"/>
      <c r="J5" s="6" t="n"/>
      <c r="K5" s="6" t="n"/>
    </row>
    <row r="6" ht="60" customHeight="1">
      <c r="A6" s="7" t="n">
        <v>5</v>
      </c>
      <c r="B6" s="7" t="inlineStr">
        <is>
          <t>AI 자기평가 도우미</t>
        </is>
      </c>
      <c r="C6" s="7" t="inlineStr">
        <is>
          <t>EMPLOYEE (employee-a@ctr.co.kr)</t>
        </is>
      </c>
      <c r="D6" s="7" t="inlineStr">
        <is>
          <t>자기평가 작성 중</t>
        </is>
      </c>
      <c r="E6" s="7" t="inlineStr"/>
      <c r="F6" s="7" t="inlineStr">
        <is>
          <t>자기평가 작성 화면에서 "AI 코멘트 초안 생성" 버튼 클릭</t>
        </is>
      </c>
      <c r="G6" s="7" t="inlineStr">
        <is>
          <t>Claude 기반 자기평가 코멘트 초안이 생성되고 직원이 편집하여 제출 가능</t>
        </is>
      </c>
      <c r="H6" s="6" t="n"/>
      <c r="I6" s="6" t="n"/>
      <c r="J6" s="6" t="n"/>
      <c r="K6" s="6" t="n"/>
    </row>
    <row r="7" ht="60" customHeight="1">
      <c r="A7" s="5" t="n">
        <v>6</v>
      </c>
      <c r="B7" s="5" t="inlineStr">
        <is>
          <t>매니저 평가 작성</t>
        </is>
      </c>
      <c r="C7" s="5" t="inlineStr">
        <is>
          <t>MANAGER (manager@ctr.co.kr)</t>
        </is>
      </c>
      <c r="D7" s="5" t="inlineStr">
        <is>
          <t>Step 4 완료</t>
        </is>
      </c>
      <c r="E7" s="5" t="inlineStr"/>
      <c r="F7" s="5" t="inlineStr">
        <is>
          <t>/performance/manager-eval 또는 /performance/manager-evaluation 진입 (i18n 신버전)</t>
        </is>
      </c>
      <c r="G7" s="5" t="inlineStr">
        <is>
          <t>매니저가 직원 평가를 작성하고 제출 가능. 두 라우트 동시 존재 시 사용성 확인</t>
        </is>
      </c>
      <c r="H7" s="6" t="n"/>
      <c r="I7" s="6" t="n"/>
      <c r="J7" s="6" t="n"/>
      <c r="K7" s="6" t="n"/>
    </row>
    <row r="8" ht="60" customHeight="1">
      <c r="A8" s="5" t="n">
        <v>7</v>
      </c>
      <c r="B8" s="5" t="inlineStr">
        <is>
          <t>동료평가 설정</t>
        </is>
      </c>
      <c r="C8" s="5" t="inlineStr">
        <is>
          <t>HR_ADMIN</t>
        </is>
      </c>
      <c r="D8" s="5" t="inlineStr">
        <is>
          <t>평가 사이클 동료평가 단계</t>
        </is>
      </c>
      <c r="E8" s="5" t="inlineStr"/>
      <c r="F8" s="5" t="inlineStr">
        <is>
          <t>/performance/peer-review/[cycleId]/setup 진입 &gt; 평가자/피평가자 매칭 &gt; 저장</t>
        </is>
      </c>
      <c r="G8" s="5" t="inlineStr">
        <is>
          <t>동료평가 매칭이 설정되고 평가자에게 알림 발송</t>
        </is>
      </c>
      <c r="H8" s="6" t="n"/>
      <c r="I8" s="6" t="n"/>
      <c r="J8" s="6" t="n"/>
      <c r="K8" s="6" t="n"/>
    </row>
    <row r="9" ht="60" customHeight="1">
      <c r="A9" s="5" t="n">
        <v>8</v>
      </c>
      <c r="B9" s="5" t="inlineStr">
        <is>
          <t>동료평가 실행</t>
        </is>
      </c>
      <c r="C9" s="5" t="inlineStr">
        <is>
          <t>EMPLOYEE / MANAGER</t>
        </is>
      </c>
      <c r="D9" s="5" t="inlineStr">
        <is>
          <t>Step 7 완료</t>
        </is>
      </c>
      <c r="E9" s="5" t="inlineStr"/>
      <c r="F9" s="5" t="inlineStr">
        <is>
          <t>/performance/peer-review/evaluate/[id] 진입 &gt; 평가 작성 &gt; 제출</t>
        </is>
      </c>
      <c r="G9" s="5" t="inlineStr">
        <is>
          <t>동료평가가 제출됨 (5-record privacy 적용)</t>
        </is>
      </c>
      <c r="H9" s="6" t="n"/>
      <c r="I9" s="6" t="n"/>
      <c r="J9" s="6" t="n"/>
      <c r="K9" s="6" t="n"/>
    </row>
    <row r="10" ht="60" customHeight="1">
      <c r="A10" s="5" t="n">
        <v>9</v>
      </c>
      <c r="B10" s="5" t="inlineStr">
        <is>
          <t>분기 리뷰 — 직원 제출</t>
        </is>
      </c>
      <c r="C10" s="5" t="inlineStr">
        <is>
          <t>EMPLOYEE (employee-a@ctr.co.kr)</t>
        </is>
      </c>
      <c r="D10" s="5" t="inlineStr">
        <is>
          <t>분기 리뷰 단계 진행 중</t>
        </is>
      </c>
      <c r="E10" s="5" t="inlineStr"/>
      <c r="F10" s="5" t="inlineStr">
        <is>
          <t>나의 공간 &gt; 분기 리뷰 &gt; 작성 &gt; 제출</t>
        </is>
      </c>
      <c r="G10" s="5" t="inlineStr">
        <is>
          <t>직원 분기 리뷰가 제출됨</t>
        </is>
      </c>
      <c r="H10" s="6" t="n"/>
      <c r="I10" s="6" t="n"/>
      <c r="J10" s="6" t="n"/>
      <c r="K10" s="6" t="n"/>
    </row>
    <row r="11" ht="60" customHeight="1">
      <c r="A11" s="7" t="n">
        <v>10</v>
      </c>
      <c r="B11" s="7" t="inlineStr">
        <is>
          <t>분기 리뷰 — 매니저 듀얼 제출</t>
        </is>
      </c>
      <c r="C11" s="7" t="inlineStr">
        <is>
          <t>MANAGER (manager@ctr.co.kr)</t>
        </is>
      </c>
      <c r="D11" s="7" t="inlineStr">
        <is>
          <t>Step 9 완료</t>
        </is>
      </c>
      <c r="E11" s="7" t="inlineStr"/>
      <c r="F11" s="7" t="inlineStr">
        <is>
          <t>팀 관리 &gt; 분기 리뷰 &gt; 해당 팀원 선택 &gt; 작성 &gt; 제출</t>
        </is>
      </c>
      <c r="G11" s="7" t="inlineStr">
        <is>
          <t>매니저 분기 리뷰가 별도로 제출됨 (직원/매니저 듀얼 제출 + 마스킹 정책 적용)</t>
        </is>
      </c>
      <c r="H11" s="6" t="n"/>
      <c r="I11" s="6" t="n"/>
      <c r="J11" s="6" t="n"/>
      <c r="K11" s="6" t="n"/>
    </row>
    <row r="12" ht="60" customHeight="1">
      <c r="A12" s="7" t="n">
        <v>11</v>
      </c>
      <c r="B12" s="7" t="inlineStr">
        <is>
          <t>분기 리뷰 마스킹 확인</t>
        </is>
      </c>
      <c r="C12" s="7" t="inlineStr">
        <is>
          <t>EMPLOYEE (employee-a@ctr.co.kr)</t>
        </is>
      </c>
      <c r="D12" s="7" t="inlineStr">
        <is>
          <t>Step 10 완료</t>
        </is>
      </c>
      <c r="E12" s="7" t="inlineStr"/>
      <c r="F12" s="7" t="inlineStr">
        <is>
          <t>나의 공간 &gt; 분기 리뷰 상세 진입</t>
        </is>
      </c>
      <c r="G12" s="7" t="inlineStr">
        <is>
          <t>매니저 코멘트가 정해진 시점까지 마스킹되어 표시됨</t>
        </is>
      </c>
      <c r="H12" s="6" t="n"/>
      <c r="I12" s="6" t="n"/>
      <c r="J12" s="6" t="n"/>
      <c r="K12" s="6" t="n"/>
    </row>
    <row r="13" ht="60" customHeight="1">
      <c r="A13" s="7" t="n">
        <v>12</v>
      </c>
      <c r="B13" s="7" t="inlineStr">
        <is>
          <t>캘리브레이션 DnD 배치 조정</t>
        </is>
      </c>
      <c r="C13" s="7" t="inlineStr">
        <is>
          <t>HR_ADMIN</t>
        </is>
      </c>
      <c r="D13" s="7" t="inlineStr">
        <is>
          <t>캘리브레이션 단계 진행 중</t>
        </is>
      </c>
      <c r="E13" s="7" t="inlineStr"/>
      <c r="F13" s="7" t="inlineStr">
        <is>
          <t>/performance/calibration 진입 &gt; 직원 카드 드래그 &gt; 9-block 셀로 드롭 (다중선택 지원)</t>
        </is>
      </c>
      <c r="G13" s="7" t="inlineStr">
        <is>
          <t>@dnd-kit 기반 드래그·드롭으로 등급 조정 완료 + 배치 API로 일괄 저장</t>
        </is>
      </c>
      <c r="H13" s="6" t="n"/>
      <c r="I13" s="6" t="n"/>
      <c r="J13" s="6" t="n"/>
      <c r="K13" s="6" t="n"/>
    </row>
    <row r="14" ht="60" customHeight="1">
      <c r="A14" s="5" t="n">
        <v>13</v>
      </c>
      <c r="B14" s="5" t="inlineStr">
        <is>
          <t>보상 검토 (Merit Matrix)</t>
        </is>
      </c>
      <c r="C14" s="5" t="inlineStr">
        <is>
          <t>HR_ADMIN</t>
        </is>
      </c>
      <c r="D14" s="5" t="inlineStr">
        <is>
          <t>캘리브레이션 완료</t>
        </is>
      </c>
      <c r="E14" s="5" t="inlineStr"/>
      <c r="F14" s="5" t="inlineStr">
        <is>
          <t>/performance/comp-review 진입 &gt; 성과등급별 merit 매트릭스 확인</t>
        </is>
      </c>
      <c r="G14" s="5" t="inlineStr">
        <is>
          <t>직원별 성과등급 + 인상률 + 성과급 시뮬레이션이 매트릭스로 표시됨</t>
        </is>
      </c>
      <c r="H14" s="6" t="n"/>
      <c r="I14" s="6" t="n"/>
      <c r="J14" s="6" t="n"/>
      <c r="K14" s="6" t="n"/>
    </row>
    <row r="15" ht="60" customHeight="1">
      <c r="A15" s="7" t="n">
        <v>14</v>
      </c>
      <c r="B15" s="7" t="inlineStr">
        <is>
          <t>성장 여정 시각화 (MyResult)</t>
        </is>
      </c>
      <c r="C15" s="7" t="inlineStr">
        <is>
          <t>EMPLOYEE (employee-a@ctr.co.kr)</t>
        </is>
      </c>
      <c r="D15" s="7" t="inlineStr">
        <is>
          <t>과거 평가 사이클 완료 이력 존재</t>
        </is>
      </c>
      <c r="E15" s="7" t="inlineStr"/>
      <c r="F15" s="7" t="inlineStr">
        <is>
          <t>/performance/my-result 진입</t>
        </is>
      </c>
      <c r="G15" s="7" t="inlineStr">
        <is>
          <t>과거 사이클 추이가 라인 차트로 시각화됨 (성장 여정)</t>
        </is>
      </c>
      <c r="H15" s="6" t="n"/>
      <c r="I15" s="6" t="n"/>
      <c r="J15" s="6" t="n"/>
      <c r="K15" s="6" t="n"/>
    </row>
    <row r="16" ht="60" customHeight="1">
      <c r="A16" s="5" t="n">
        <v>15</v>
      </c>
      <c r="B16" s="5" t="inlineStr">
        <is>
          <t>1:1 미팅 설정</t>
        </is>
      </c>
      <c r="C16" s="5" t="inlineStr">
        <is>
          <t>MANAGER (manager@ctr.co.kr)</t>
        </is>
      </c>
      <c r="D16" s="5" t="inlineStr">
        <is>
          <t>로그인 완료</t>
        </is>
      </c>
      <c r="E16" s="5" t="inlineStr">
        <is>
          <t>1:1 대상: 이민준, 주기: 격주</t>
        </is>
      </c>
      <c r="F16" s="5" t="inlineStr">
        <is>
          <t>팀 관리 &gt; 1:1 미팅 &gt; 새 미팅 설정 &gt; 저장</t>
        </is>
      </c>
      <c r="G16" s="5" t="inlineStr">
        <is>
          <t>1:1 미팅 일정이 생성되고 양측에 알림</t>
        </is>
      </c>
      <c r="H16" s="6" t="n"/>
      <c r="I16" s="6" t="n"/>
      <c r="J16" s="6" t="n"/>
      <c r="K16" s="6" t="n"/>
    </row>
    <row r="17" ht="60" customHeight="1">
      <c r="A17" s="5" t="n">
        <v>16</v>
      </c>
      <c r="B17" s="5" t="inlineStr">
        <is>
          <t>인정/칭찬 피드</t>
        </is>
      </c>
      <c r="C17" s="5" t="inlineStr">
        <is>
          <t>EMPLOYEE (employee-a@ctr.co.kr)</t>
        </is>
      </c>
      <c r="D17" s="5" t="inlineStr">
        <is>
          <t>로그인 완료</t>
        </is>
      </c>
      <c r="E17" s="5" t="inlineStr"/>
      <c r="F17" s="5" t="inlineStr">
        <is>
          <t>나의 공간 &gt; 리코그니션 진입 &gt; 동료 인정 작성 &gt; 제출</t>
        </is>
      </c>
      <c r="G17" s="5" t="inlineStr">
        <is>
          <t>인정 메시지가 피드에 표시됨</t>
        </is>
      </c>
      <c r="H17" s="6" t="n"/>
      <c r="I17" s="6" t="n"/>
      <c r="J17" s="6" t="n"/>
      <c r="K17" s="6" t="n"/>
    </row>
    <row r="18" ht="60" customHeight="1">
      <c r="A18" s="5" t="n">
        <v>17</v>
      </c>
      <c r="B18" s="5" t="inlineStr">
        <is>
          <t>펄스 설문 응답</t>
        </is>
      </c>
      <c r="C18" s="5" t="inlineStr">
        <is>
          <t>EMPLOYEE (employee-a@ctr.co.kr)</t>
        </is>
      </c>
      <c r="D18" s="5" t="inlineStr">
        <is>
          <t>펄스 설문 활성</t>
        </is>
      </c>
      <c r="E18" s="5" t="inlineStr"/>
      <c r="F18" s="5" t="inlineStr">
        <is>
          <t>/performance/pulse/[id]/respond 진입 &gt; 응답 &gt; 제출</t>
        </is>
      </c>
      <c r="G18" s="5" t="inlineStr">
        <is>
          <t>펄스 응답이 제출되고 결과는 익명 집계됨</t>
        </is>
      </c>
      <c r="H18" s="6" t="n"/>
      <c r="I18" s="6" t="n"/>
      <c r="J18" s="6" t="n"/>
      <c r="K18" s="6" t="n"/>
    </row>
    <row r="19" ht="60" customHeight="1">
      <c r="A19" s="5" t="n">
        <v>18</v>
      </c>
      <c r="B19" s="5" t="inlineStr">
        <is>
          <t>펄스 결과 조회</t>
        </is>
      </c>
      <c r="C19" s="5" t="inlineStr">
        <is>
          <t>HR_ADMIN</t>
        </is>
      </c>
      <c r="D19" s="5" t="inlineStr">
        <is>
          <t>Step 17 완료</t>
        </is>
      </c>
      <c r="E19" s="5" t="inlineStr"/>
      <c r="F19" s="5" t="inlineStr">
        <is>
          <t>/performance/pulse/[id]/results 진입</t>
        </is>
      </c>
      <c r="G19" s="5" t="inlineStr">
        <is>
          <t>응답 결과가 카테고리별/팀별로 집계되어 표시됨</t>
        </is>
      </c>
      <c r="H19" s="6" t="n"/>
      <c r="I19" s="6" t="n"/>
      <c r="J19" s="6" t="n"/>
      <c r="K19" s="6" t="n"/>
    </row>
    <row r="20" ht="60" customHeight="1">
      <c r="A20" s="5" t="n">
        <v>19</v>
      </c>
      <c r="B20" s="5" t="inlineStr">
        <is>
          <t>성과 알림</t>
        </is>
      </c>
      <c r="C20" s="5" t="inlineStr">
        <is>
          <t>EMPLOYEE / MANAGER</t>
        </is>
      </c>
      <c r="D20" s="5" t="inlineStr">
        <is>
          <t>평가 마감일 D-day 경과</t>
        </is>
      </c>
      <c r="E20" s="5" t="inlineStr"/>
      <c r="F20" s="5" t="inlineStr">
        <is>
          <t>/performance/notifications 진입 또는 알림 센터</t>
        </is>
      </c>
      <c r="G20" s="5" t="inlineStr">
        <is>
          <t>평가 마감 임박/경과 알림이 발송됨 (eval-reminder cron)</t>
        </is>
      </c>
      <c r="H20" s="6" t="n"/>
      <c r="I20" s="6" t="n"/>
      <c r="J20" s="6" t="n"/>
      <c r="K20" s="6" t="n"/>
    </row>
    <row r="21" ht="60" customHeight="1">
      <c r="A21" s="7" t="n">
        <v>20</v>
      </c>
      <c r="B21" s="7" t="inlineStr">
        <is>
          <t>바이어스 감지</t>
        </is>
      </c>
      <c r="C21" s="7" t="inlineStr">
        <is>
          <t>HR_ADMIN</t>
        </is>
      </c>
      <c r="D21" s="7" t="inlineStr">
        <is>
          <t>AI 평가 초안 사용</t>
        </is>
      </c>
      <c r="E21" s="7" t="inlineStr"/>
      <c r="F21" s="7" t="inlineStr">
        <is>
          <t>매니저 평가에서 AI 초안 생성 → 바이어스 감지 결과 확인</t>
        </is>
      </c>
      <c r="G21" s="7" t="inlineStr">
        <is>
          <t>성별/연령별/근속 등 잠재적 바이어스 패턴이 감지되어 경고됨</t>
        </is>
      </c>
      <c r="H21" s="6" t="n"/>
      <c r="I21" s="6" t="n"/>
      <c r="J21" s="6" t="n"/>
      <c r="K21" s="6" t="n"/>
    </row>
  </sheetData>
  <conditionalFormatting sqref="I2:I2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21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 ht="30" customHeight="1">
      <c r="A1" s="4" t="inlineStr">
        <is>
          <t>#</t>
        </is>
      </c>
      <c r="B1" s="4" t="inlineStr">
        <is>
          <t>기능</t>
        </is>
      </c>
      <c r="C1" s="4" t="inlineStr">
        <is>
          <t>세부기능</t>
        </is>
      </c>
      <c r="D1" s="4" t="inlineStr">
        <is>
          <t>테스트 계정</t>
        </is>
      </c>
      <c r="E1" s="4" t="inlineStr">
        <is>
          <t>확인 (Y/N/NA)</t>
        </is>
      </c>
      <c r="F1" s="4" t="inlineStr">
        <is>
          <t>심각도</t>
        </is>
      </c>
      <c r="G1" s="4" t="inlineStr">
        <is>
          <t>테스터</t>
        </is>
      </c>
      <c r="H1" s="4" t="inlineStr">
        <is>
          <t>날짜</t>
        </is>
      </c>
      <c r="I1" s="4" t="inlineStr">
        <is>
          <t>비고</t>
        </is>
      </c>
    </row>
    <row r="2" ht="24" customHeight="1">
      <c r="A2" s="5" t="n">
        <v>1</v>
      </c>
      <c r="B2" s="5" t="inlineStr">
        <is>
          <t>채용</t>
        </is>
      </c>
      <c r="C2" s="5" t="inlineStr">
        <is>
          <t>채용 공고 목록 (/recruitment)</t>
        </is>
      </c>
      <c r="D2" s="5" t="inlineStr">
        <is>
          <t>HR_ADMIN</t>
        </is>
      </c>
      <c r="E2" s="8" t="n"/>
      <c r="F2" s="8" t="n"/>
      <c r="G2" s="8" t="n"/>
      <c r="H2" s="8" t="n"/>
      <c r="I2" s="8" t="n"/>
    </row>
    <row r="3" ht="24" customHeight="1">
      <c r="A3" s="5" t="n">
        <v>2</v>
      </c>
      <c r="B3" s="5" t="inlineStr">
        <is>
          <t>채용</t>
        </is>
      </c>
      <c r="C3" s="5" t="inlineStr">
        <is>
          <t>새 공고 작성 (/recruitment/new)</t>
        </is>
      </c>
      <c r="D3" s="5" t="inlineStr">
        <is>
          <t>HR_ADMIN</t>
        </is>
      </c>
      <c r="E3" s="8" t="n"/>
      <c r="F3" s="8" t="n"/>
      <c r="G3" s="8" t="n"/>
      <c r="H3" s="8" t="n"/>
      <c r="I3" s="8" t="n"/>
    </row>
    <row r="4" ht="24" customHeight="1">
      <c r="A4" s="5" t="n">
        <v>3</v>
      </c>
      <c r="B4" s="5" t="inlineStr">
        <is>
          <t>채용</t>
        </is>
      </c>
      <c r="C4" s="5" t="inlineStr">
        <is>
          <t>공고 상세 (/recruitment/[id])</t>
        </is>
      </c>
      <c r="D4" s="5" t="inlineStr">
        <is>
          <t>HR_ADMIN</t>
        </is>
      </c>
      <c r="E4" s="8" t="n"/>
      <c r="F4" s="8" t="n"/>
      <c r="G4" s="8" t="n"/>
      <c r="H4" s="8" t="n"/>
      <c r="I4" s="8" t="n"/>
    </row>
    <row r="5" ht="24" customHeight="1">
      <c r="A5" s="5" t="n">
        <v>4</v>
      </c>
      <c r="B5" s="5" t="inlineStr">
        <is>
          <t>채용</t>
        </is>
      </c>
      <c r="C5" s="5" t="inlineStr">
        <is>
          <t>공고 수정 (/recruitment/[id]/edit)</t>
        </is>
      </c>
      <c r="D5" s="5" t="inlineStr">
        <is>
          <t>HR_ADMIN</t>
        </is>
      </c>
      <c r="E5" s="8" t="n"/>
      <c r="F5" s="8" t="n"/>
      <c r="G5" s="8" t="n"/>
      <c r="H5" s="8" t="n"/>
      <c r="I5" s="8" t="n"/>
    </row>
    <row r="6" ht="24" customHeight="1">
      <c r="A6" s="5" t="n">
        <v>5</v>
      </c>
      <c r="B6" s="5" t="inlineStr">
        <is>
          <t>지원자</t>
        </is>
      </c>
      <c r="C6" s="5" t="inlineStr">
        <is>
          <t>지원자 목록 (/recruitment/[id]/applicants)</t>
        </is>
      </c>
      <c r="D6" s="5" t="inlineStr">
        <is>
          <t>HR_ADMIN</t>
        </is>
      </c>
      <c r="E6" s="8" t="n"/>
      <c r="F6" s="8" t="n"/>
      <c r="G6" s="8" t="n"/>
      <c r="H6" s="8" t="n"/>
      <c r="I6" s="8" t="n"/>
    </row>
    <row r="7" ht="24" customHeight="1">
      <c r="A7" s="5" t="n">
        <v>6</v>
      </c>
      <c r="B7" s="5" t="inlineStr">
        <is>
          <t>지원자</t>
        </is>
      </c>
      <c r="C7" s="5" t="inlineStr">
        <is>
          <t>새 지원자 등록 (/recruitment/[id]/applicants/new)</t>
        </is>
      </c>
      <c r="D7" s="5" t="inlineStr">
        <is>
          <t>HR_ADMIN</t>
        </is>
      </c>
      <c r="E7" s="8" t="n"/>
      <c r="F7" s="8" t="n"/>
      <c r="G7" s="8" t="n"/>
      <c r="H7" s="8" t="n"/>
      <c r="I7" s="8" t="n"/>
    </row>
    <row r="8" ht="24" customHeight="1">
      <c r="A8" s="5" t="n">
        <v>7</v>
      </c>
      <c r="B8" s="5" t="inlineStr">
        <is>
          <t>면접</t>
        </is>
      </c>
      <c r="C8" s="5" t="inlineStr">
        <is>
          <t>면접 일정 목록 (/recruitment/[id]/interviews)</t>
        </is>
      </c>
      <c r="D8" s="5" t="inlineStr">
        <is>
          <t>HR_ADMIN</t>
        </is>
      </c>
      <c r="E8" s="8" t="n"/>
      <c r="F8" s="8" t="n"/>
      <c r="G8" s="8" t="n"/>
      <c r="H8" s="8" t="n"/>
      <c r="I8" s="8" t="n"/>
    </row>
    <row r="9" ht="24" customHeight="1">
      <c r="A9" s="5" t="n">
        <v>8</v>
      </c>
      <c r="B9" s="5" t="inlineStr">
        <is>
          <t>면접</t>
        </is>
      </c>
      <c r="C9" s="5" t="inlineStr">
        <is>
          <t>새 면접 등록 + 타임존 자동 설정 (/recruitment/[id]/interviews/new)</t>
        </is>
      </c>
      <c r="D9" s="5" t="inlineStr">
        <is>
          <t>HR_ADMIN</t>
        </is>
      </c>
      <c r="E9" s="8" t="n"/>
      <c r="F9" s="8" t="n"/>
      <c r="G9" s="8" t="n"/>
      <c r="H9" s="8" t="n"/>
      <c r="I9" s="8" t="n"/>
    </row>
    <row r="10" ht="24" customHeight="1">
      <c r="A10" s="5" t="n">
        <v>9</v>
      </c>
      <c r="B10" s="5" t="inlineStr">
        <is>
          <t>면접</t>
        </is>
      </c>
      <c r="C10" s="5" t="inlineStr">
        <is>
          <t>면접 중복 감지</t>
        </is>
      </c>
      <c r="D10" s="5" t="inlineStr">
        <is>
          <t>HR_ADMIN</t>
        </is>
      </c>
      <c r="E10" s="8" t="n"/>
      <c r="F10" s="8" t="n"/>
      <c r="G10" s="8" t="n"/>
      <c r="H10" s="8" t="n"/>
      <c r="I10" s="8" t="n"/>
    </row>
    <row r="11" ht="24" customHeight="1">
      <c r="A11" s="5" t="n">
        <v>10</v>
      </c>
      <c r="B11" s="5" t="inlineStr">
        <is>
          <t>파이프라인</t>
        </is>
      </c>
      <c r="C11" s="5" t="inlineStr">
        <is>
          <t>10-stage 칸반 파이프라인 (/recruitment/[id]/pipeline)</t>
        </is>
      </c>
      <c r="D11" s="5" t="inlineStr">
        <is>
          <t>HR_ADMIN</t>
        </is>
      </c>
      <c r="E11" s="8" t="n"/>
      <c r="F11" s="8" t="n"/>
      <c r="G11" s="8" t="n"/>
      <c r="H11" s="8" t="n"/>
      <c r="I11" s="8" t="n"/>
    </row>
    <row r="12" ht="24" customHeight="1">
      <c r="A12" s="5" t="n">
        <v>11</v>
      </c>
      <c r="B12" s="5" t="inlineStr">
        <is>
          <t>파이프라인</t>
        </is>
      </c>
      <c r="C12" s="5" t="inlineStr">
        <is>
          <t>OFFER_ACCEPTED / OFFER_DECLINED 단계 표시</t>
        </is>
      </c>
      <c r="D12" s="5" t="inlineStr">
        <is>
          <t>HR_ADMIN</t>
        </is>
      </c>
      <c r="E12" s="8" t="n"/>
      <c r="F12" s="8" t="n"/>
      <c r="G12" s="8" t="n"/>
      <c r="H12" s="8" t="n"/>
      <c r="I12" s="8" t="n"/>
    </row>
    <row r="13" ht="24" customHeight="1">
      <c r="A13" s="5" t="n">
        <v>12</v>
      </c>
      <c r="B13" s="5" t="inlineStr">
        <is>
          <t>보드 뷰</t>
        </is>
      </c>
      <c r="C13" s="5" t="inlineStr">
        <is>
          <t>전체 보드 뷰 (/recruitment/board)</t>
        </is>
      </c>
      <c r="D13" s="5" t="inlineStr">
        <is>
          <t>HR_ADMIN</t>
        </is>
      </c>
      <c r="E13" s="8" t="n"/>
      <c r="F13" s="8" t="n"/>
      <c r="G13" s="8" t="n"/>
      <c r="H13" s="8" t="n"/>
      <c r="I13" s="8" t="n"/>
    </row>
    <row r="14" ht="24" customHeight="1">
      <c r="A14" s="5" t="n">
        <v>13</v>
      </c>
      <c r="B14" s="5" t="inlineStr">
        <is>
          <t>대시보드</t>
        </is>
      </c>
      <c r="C14" s="5" t="inlineStr">
        <is>
          <t>채용 대시보드 (/recruitment/dashboard)</t>
        </is>
      </c>
      <c r="D14" s="5" t="inlineStr">
        <is>
          <t>HR_ADMIN</t>
        </is>
      </c>
      <c r="E14" s="8" t="n"/>
      <c r="F14" s="8" t="n"/>
      <c r="G14" s="8" t="n"/>
      <c r="H14" s="8" t="n"/>
      <c r="I14" s="8" t="n"/>
    </row>
    <row r="15" ht="24" customHeight="1">
      <c r="A15" s="5" t="n">
        <v>14</v>
      </c>
      <c r="B15" s="5" t="inlineStr">
        <is>
          <t>대시보드</t>
        </is>
      </c>
      <c r="C15" s="5" t="inlineStr">
        <is>
          <t>채용 퍼널에 OFFER_ACCEPTED/DECLINED 단계 시각화</t>
        </is>
      </c>
      <c r="D15" s="5" t="inlineStr">
        <is>
          <t>HR_ADMIN</t>
        </is>
      </c>
      <c r="E15" s="8" t="n"/>
      <c r="F15" s="8" t="n"/>
      <c r="G15" s="8" t="n"/>
      <c r="H15" s="8" t="n"/>
      <c r="I15" s="8" t="n"/>
    </row>
    <row r="16" ht="24" customHeight="1">
      <c r="A16" s="5" t="n">
        <v>15</v>
      </c>
      <c r="B16" s="5" t="inlineStr">
        <is>
          <t>인재풀</t>
        </is>
      </c>
      <c r="C16" s="5" t="inlineStr">
        <is>
          <t>인재풀 관리 (/recruitment/talent-pool)</t>
        </is>
      </c>
      <c r="D16" s="5" t="inlineStr">
        <is>
          <t>HR_ADMIN</t>
        </is>
      </c>
      <c r="E16" s="8" t="n"/>
      <c r="F16" s="8" t="n"/>
      <c r="G16" s="8" t="n"/>
      <c r="H16" s="8" t="n"/>
      <c r="I16" s="8" t="n"/>
    </row>
    <row r="17" ht="24" customHeight="1">
      <c r="A17" s="5" t="n">
        <v>16</v>
      </c>
      <c r="B17" s="5" t="inlineStr">
        <is>
          <t>비용 분석</t>
        </is>
      </c>
      <c r="C17" s="5" t="inlineStr">
        <is>
          <t>채용 비용 분석 (/recruitment/cost-analysis)</t>
        </is>
      </c>
      <c r="D17" s="5" t="inlineStr">
        <is>
          <t>HR_ADMIN</t>
        </is>
      </c>
      <c r="E17" s="8" t="n"/>
      <c r="F17" s="8" t="n"/>
      <c r="G17" s="8" t="n"/>
      <c r="H17" s="8" t="n"/>
      <c r="I17" s="8" t="n"/>
    </row>
    <row r="18" ht="24" customHeight="1">
      <c r="A18" s="5" t="n">
        <v>17</v>
      </c>
      <c r="B18" s="5" t="inlineStr">
        <is>
          <t>채용요청서</t>
        </is>
      </c>
      <c r="C18" s="5" t="inlineStr">
        <is>
          <t>채용요청서 목록 (/recruitment/requisitions)</t>
        </is>
      </c>
      <c r="D18" s="5" t="inlineStr">
        <is>
          <t>HR_ADMIN</t>
        </is>
      </c>
      <c r="E18" s="8" t="n"/>
      <c r="F18" s="8" t="n"/>
      <c r="G18" s="8" t="n"/>
      <c r="H18" s="8" t="n"/>
      <c r="I18" s="8" t="n"/>
    </row>
    <row r="19" ht="24" customHeight="1">
      <c r="A19" s="5" t="n">
        <v>18</v>
      </c>
      <c r="B19" s="5" t="inlineStr">
        <is>
          <t>채용요청서</t>
        </is>
      </c>
      <c r="C19" s="5" t="inlineStr">
        <is>
          <t>새 채용요청서 (/recruitment/requisitions/new)</t>
        </is>
      </c>
      <c r="D19" s="5" t="inlineStr">
        <is>
          <t>HR_ADMIN</t>
        </is>
      </c>
      <c r="E19" s="8" t="n"/>
      <c r="F19" s="8" t="n"/>
      <c r="G19" s="8" t="n"/>
      <c r="H19" s="8" t="n"/>
      <c r="I19" s="8" t="n"/>
    </row>
    <row r="20" ht="24" customHeight="1">
      <c r="A20" s="5" t="n">
        <v>19</v>
      </c>
      <c r="B20" s="5" t="inlineStr">
        <is>
          <t>채용요청서</t>
        </is>
      </c>
      <c r="C20" s="5" t="inlineStr">
        <is>
          <t>채용요청서 상세 + canApprove 서버 결정 (PR #18)</t>
        </is>
      </c>
      <c r="D20" s="5" t="inlineStr">
        <is>
          <t>multi-role 사용자</t>
        </is>
      </c>
      <c r="E20" s="8" t="n"/>
      <c r="F20" s="8" t="n"/>
      <c r="G20" s="8" t="n"/>
      <c r="H20" s="8" t="n"/>
      <c r="I20" s="8" t="n"/>
    </row>
    <row r="21" ht="24" customHeight="1">
      <c r="A21" s="5" t="n">
        <v>20</v>
      </c>
      <c r="B21" s="5" t="inlineStr">
        <is>
          <t>내부공모</t>
        </is>
      </c>
      <c r="C21" s="5" t="inlineStr">
        <is>
          <t>내부 공모 확인 (/my/internal-jobs)</t>
        </is>
      </c>
      <c r="D21" s="5" t="inlineStr">
        <is>
          <t>EMPLOYEE</t>
        </is>
      </c>
      <c r="E21" s="8" t="n"/>
      <c r="F21" s="8" t="n"/>
      <c r="G21" s="8" t="n"/>
      <c r="H21" s="8" t="n"/>
      <c r="I21" s="8" t="n"/>
    </row>
    <row r="22" ht="24" customHeight="1">
      <c r="A22" s="5" t="n">
        <v>21</v>
      </c>
      <c r="B22" s="5" t="inlineStr">
        <is>
          <t>ATS 전환</t>
        </is>
      </c>
      <c r="C22" s="5" t="inlineStr">
        <is>
          <t>ATS 합격자 → 직원 원클릭 전환</t>
        </is>
      </c>
      <c r="D22" s="5" t="inlineStr">
        <is>
          <t>HR_ADMIN</t>
        </is>
      </c>
      <c r="E22" s="8" t="n"/>
      <c r="F22" s="8" t="n"/>
      <c r="G22" s="8" t="n"/>
      <c r="H22" s="8" t="n"/>
      <c r="I22" s="8" t="n"/>
    </row>
    <row r="23" ht="24" customHeight="1">
      <c r="A23" s="5" t="n">
        <v>22</v>
      </c>
      <c r="B23" s="5" t="inlineStr">
        <is>
          <t>오퍼 Flow</t>
        </is>
      </c>
      <c r="C23" s="5" t="inlineStr">
        <is>
          <t>오퍼 수락/거절 상태머신 + PATCH API + 다이얼로그</t>
        </is>
      </c>
      <c r="D23" s="5" t="inlineStr">
        <is>
          <t>HR_ADMIN</t>
        </is>
      </c>
      <c r="E23" s="8" t="n"/>
      <c r="F23" s="8" t="n"/>
      <c r="G23" s="8" t="n"/>
      <c r="H23" s="8" t="n"/>
      <c r="I23" s="8" t="n"/>
    </row>
    <row r="24" ht="24" customHeight="1">
      <c r="A24" s="5" t="n">
        <v>23</v>
      </c>
      <c r="B24" s="5" t="inlineStr">
        <is>
          <t>도메인 이벤트</t>
        </is>
      </c>
      <c r="C24" s="5" t="inlineStr">
        <is>
          <t>OFFER_SENT/ACCEPTED/DECLINED + INTERVIEW_SCHEDULED 알림</t>
        </is>
      </c>
      <c r="D24" s="5" t="inlineStr">
        <is>
          <t>HR_ADMIN</t>
        </is>
      </c>
      <c r="E24" s="8" t="n"/>
      <c r="F24" s="8" t="n"/>
      <c r="G24" s="8" t="n"/>
      <c r="H24" s="8" t="n"/>
      <c r="I24" s="8" t="n"/>
    </row>
    <row r="25" ht="24" customHeight="1">
      <c r="A25" s="5" t="n">
        <v>24</v>
      </c>
      <c r="B25" s="5" t="inlineStr">
        <is>
          <t>do-not-rehire</t>
        </is>
      </c>
      <c r="C25" s="5" t="inlineStr">
        <is>
          <t>재고용 방지 직원의 채용 중복 체크 경고</t>
        </is>
      </c>
      <c r="D25" s="5" t="inlineStr">
        <is>
          <t>HR_ADMIN</t>
        </is>
      </c>
      <c r="E25" s="8" t="n"/>
      <c r="F25" s="8" t="n"/>
      <c r="G25" s="8" t="n"/>
      <c r="H25" s="8" t="n"/>
      <c r="I25" s="8" t="n"/>
    </row>
    <row r="26" ht="24" customHeight="1">
      <c r="A26" s="5" t="n">
        <v>25</v>
      </c>
      <c r="B26" s="5" t="inlineStr">
        <is>
          <t>AI 스크리닝</t>
        </is>
      </c>
      <c r="C26" s="5" t="inlineStr">
        <is>
          <t>AI 기반 지원자 스크리닝 결과</t>
        </is>
      </c>
      <c r="D26" s="5" t="inlineStr">
        <is>
          <t>HR_ADMIN</t>
        </is>
      </c>
      <c r="E26" s="8" t="n"/>
      <c r="F26" s="8" t="n"/>
      <c r="G26" s="8" t="n"/>
      <c r="H26" s="8" t="n"/>
      <c r="I26" s="8" t="n"/>
    </row>
  </sheetData>
  <dataValidations count="2">
    <dataValidation sqref="E2:E26" showDropDown="0" showInputMessage="0" showErrorMessage="0" allowBlank="1" type="list">
      <formula1>"Y,N,NA"</formula1>
    </dataValidation>
    <dataValidation sqref="F2:F26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5" t="n">
        <v>1</v>
      </c>
      <c r="B2" s="5" t="inlineStr">
        <is>
          <t>보상 대시보드 (HR)</t>
        </is>
      </c>
      <c r="C2" s="5" t="inlineStr">
        <is>
          <t>HR_ADMIN</t>
        </is>
      </c>
      <c r="D2" s="5" t="inlineStr">
        <is>
          <t>로그인 완료</t>
        </is>
      </c>
      <c r="E2" s="5" t="inlineStr"/>
      <c r="F2" s="5" t="inlineStr">
        <is>
          <t>좌측 메뉴 &gt; 성과/보상 &gt; 보상 관리 클릭</t>
        </is>
      </c>
      <c r="G2" s="5" t="inlineStr">
        <is>
          <t>보상 대시보드가 표시되고 정기/비정기 조정 현황 보임</t>
        </is>
      </c>
      <c r="H2" s="6" t="n"/>
      <c r="I2" s="6" t="n"/>
      <c r="J2" s="6" t="n"/>
      <c r="K2" s="6" t="n"/>
    </row>
    <row r="3" ht="60" customHeight="1">
      <c r="A3" s="5" t="n">
        <v>2</v>
      </c>
      <c r="B3" s="5" t="inlineStr">
        <is>
          <t>정기 보상 검토 (merit matrix)</t>
        </is>
      </c>
      <c r="C3" s="5" t="inlineStr">
        <is>
          <t>HR_ADMIN</t>
        </is>
      </c>
      <c r="D3" s="5" t="inlineStr">
        <is>
          <t>캘리브레이션 완료</t>
        </is>
      </c>
      <c r="E3" s="5" t="inlineStr"/>
      <c r="F3" s="5" t="inlineStr">
        <is>
          <t>/performance/comp-review 진입 &gt; 인상률 매트릭스 확인</t>
        </is>
      </c>
      <c r="G3" s="5" t="inlineStr">
        <is>
          <t>직급별 인상률 + PayBandChart로 밴드 내 위치 시각화</t>
        </is>
      </c>
      <c r="H3" s="6" t="n"/>
      <c r="I3" s="6" t="n"/>
      <c r="J3" s="6" t="n"/>
      <c r="K3" s="6" t="n"/>
    </row>
    <row r="4" ht="60" customHeight="1">
      <c r="A4" s="7" t="n">
        <v>3</v>
      </c>
      <c r="B4" s="7" t="inlineStr">
        <is>
          <t>Off-Cycle — 매니저 제안 경로</t>
        </is>
      </c>
      <c r="C4" s="7" t="inlineStr">
        <is>
          <t>MANAGER (manager@ctr.co.kr)</t>
        </is>
      </c>
      <c r="D4" s="7" t="inlineStr">
        <is>
          <t>팀원 대상</t>
        </is>
      </c>
      <c r="E4" s="7" t="inlineStr">
        <is>
          <t>대상: 이민준, 인상률: 5%, 시행일: 2026-06-01</t>
        </is>
      </c>
      <c r="F4" s="7" t="inlineStr">
        <is>
          <t>팀 관리 &gt; 비정기 조정 제안 &gt; 대상/사유/금액 입력 &gt; 제출</t>
        </is>
      </c>
      <c r="G4" s="7" t="inlineStr">
        <is>
          <t>매니저 제안이 HR 결재함으로 전달되고 ApprovalFlow 다단계 진행</t>
        </is>
      </c>
      <c r="H4" s="6" t="n"/>
      <c r="I4" s="6" t="n"/>
      <c r="J4" s="6" t="n"/>
      <c r="K4" s="6" t="n"/>
    </row>
    <row r="5" ht="60" customHeight="1">
      <c r="A5" s="7" t="n">
        <v>4</v>
      </c>
      <c r="B5" s="7" t="inlineStr">
        <is>
          <t>Off-Cycle — HR 주도 경로</t>
        </is>
      </c>
      <c r="C5" s="7" t="inlineStr">
        <is>
          <t>HR_ADMIN</t>
        </is>
      </c>
      <c r="D5" s="7" t="inlineStr">
        <is>
          <t>로그인 완료</t>
        </is>
      </c>
      <c r="E5" s="7" t="inlineStr">
        <is>
          <t>대상: 정다은, 사유: 시장 보정</t>
        </is>
      </c>
      <c r="F5" s="7" t="inlineStr">
        <is>
          <t>/compensation/off-cycle/new &gt; HR 주도 발의 옵션 선택 &gt; 저장</t>
        </is>
      </c>
      <c r="G5" s="7" t="inlineStr">
        <is>
          <t>HR 발의 건이 결재 라인 진행 (HR_ADMIN 발의 시 step 2 self-skip — PR #19)</t>
        </is>
      </c>
      <c r="H5" s="6" t="n"/>
      <c r="I5" s="6" t="n"/>
      <c r="J5" s="6" t="n"/>
      <c r="K5" s="6" t="n"/>
    </row>
    <row r="6" ht="60" customHeight="1">
      <c r="A6" s="7" t="n">
        <v>5</v>
      </c>
      <c r="B6" s="7" t="inlineStr">
        <is>
          <t>Off-Cycle — 자동 트리거</t>
        </is>
      </c>
      <c r="C6" s="7" t="inlineStr">
        <is>
          <t>HR_ADMIN</t>
        </is>
      </c>
      <c r="D6" s="7" t="inlineStr">
        <is>
          <t>발령(승진 등) 처리 직후</t>
        </is>
      </c>
      <c r="E6" s="7" t="inlineStr"/>
      <c r="F6" s="7" t="inlineStr">
        <is>
          <t>발령 처리 → 자동으로 비정기 조정 결재 생성됨을 확인</t>
        </is>
      </c>
      <c r="G6" s="7" t="inlineStr">
        <is>
          <t>발령 시 자동 트리거된 비정기 조정 건이 결재 대기 목록에 표시됨</t>
        </is>
      </c>
      <c r="H6" s="6" t="n"/>
      <c r="I6" s="6" t="n"/>
      <c r="J6" s="6" t="n"/>
      <c r="K6" s="6" t="n"/>
    </row>
    <row r="7" ht="60" customHeight="1">
      <c r="A7" s="7" t="n">
        <v>6</v>
      </c>
      <c r="B7" s="7" t="inlineStr">
        <is>
          <t>급여 역전 방어 검증</t>
        </is>
      </c>
      <c r="C7" s="7" t="inlineStr">
        <is>
          <t>HR_ADMIN</t>
        </is>
      </c>
      <c r="D7" s="7" t="inlineStr">
        <is>
          <t>부하 연봉 &gt; 상사 시나리오 데이터</t>
        </is>
      </c>
      <c r="E7" s="7" t="inlineStr"/>
      <c r="F7" s="7" t="inlineStr">
        <is>
          <t>/compensation/off-cycle/new &gt; 부하 직원 대상으로 상사 연봉 초과하는 인상 시도</t>
        </is>
      </c>
      <c r="G7" s="7" t="inlineStr">
        <is>
          <t>저장 전 경고 표시 (급여 역전 방지 정책)</t>
        </is>
      </c>
      <c r="H7" s="6" t="n"/>
      <c r="I7" s="6" t="n"/>
      <c r="J7" s="6" t="n"/>
      <c r="K7" s="6" t="n"/>
    </row>
    <row r="8" ht="60" customHeight="1">
      <c r="A8" s="7" t="n">
        <v>7</v>
      </c>
      <c r="B8" s="7" t="inlineStr">
        <is>
          <t>Self-approval Skip</t>
        </is>
      </c>
      <c r="C8" s="7" t="inlineStr">
        <is>
          <t>HR_ADMIN (발의자 = 결재자)</t>
        </is>
      </c>
      <c r="D8" s="7" t="inlineStr">
        <is>
          <t>본인 발의 → 본인 결재 단계 포함</t>
        </is>
      </c>
      <c r="E8" s="7" t="inlineStr">
        <is>
          <t>발의자가 동시에 step의 결재자인 경우</t>
        </is>
      </c>
      <c r="F8" s="7" t="inlineStr">
        <is>
          <t>결재 단계 진행</t>
        </is>
      </c>
      <c r="G8" s="7" t="inlineStr">
        <is>
          <t>발의자 본인이 결재자인 step은 자동 self-skip 처리 (APPROVED)</t>
        </is>
      </c>
      <c r="H8" s="6" t="n"/>
      <c r="I8" s="6" t="n"/>
      <c r="J8" s="6" t="n"/>
      <c r="K8" s="6" t="n"/>
    </row>
    <row r="9" ht="60" customHeight="1">
      <c r="A9" s="7" t="n">
        <v>8</v>
      </c>
      <c r="B9" s="7" t="inlineStr">
        <is>
          <t>미래 시행일 Cron</t>
        </is>
      </c>
      <c r="C9" s="7" t="inlineStr">
        <is>
          <t>HR_ADMIN</t>
        </is>
      </c>
      <c r="D9" s="7" t="inlineStr">
        <is>
          <t>시행일 &gt; 오늘</t>
        </is>
      </c>
      <c r="E9" s="7" t="inlineStr"/>
      <c r="F9" s="7" t="inlineStr">
        <is>
          <t>/compensation/off-cycle/new &gt; 시행일을 미래로 설정 &gt; 결재 완료</t>
        </is>
      </c>
      <c r="G9" s="7" t="inlineStr">
        <is>
          <t>결재는 완료되되, 실제 급여 반영은 시행일 cron이 처리 (즉시 반영 X)</t>
        </is>
      </c>
      <c r="H9" s="6" t="n"/>
      <c r="I9" s="6" t="n"/>
      <c r="J9" s="6" t="n"/>
      <c r="K9" s="6" t="n"/>
    </row>
    <row r="10" ht="60" customHeight="1">
      <c r="A10" s="7" t="n">
        <v>9</v>
      </c>
      <c r="B10" s="7" t="inlineStr">
        <is>
          <t>Compensation Letter PDF 생성</t>
        </is>
      </c>
      <c r="C10" s="7" t="inlineStr">
        <is>
          <t>HR_ADMIN</t>
        </is>
      </c>
      <c r="D10" s="7" t="inlineStr">
        <is>
          <t>결재 완료된 보상 조정 건 존재</t>
        </is>
      </c>
      <c r="E10" s="7" t="inlineStr"/>
      <c r="F10" s="7" t="inlineStr">
        <is>
          <t>보상 상세 &gt; "Compensation Letter 생성" 클릭</t>
        </is>
      </c>
      <c r="G10" s="7" t="inlineStr">
        <is>
          <t>PDF가 생성되고 S3에 저장됨 (compensation-letter-pdf.ts)</t>
        </is>
      </c>
      <c r="H10" s="6" t="n"/>
      <c r="I10" s="6" t="n"/>
      <c r="J10" s="6" t="n"/>
      <c r="K10" s="6" t="n"/>
    </row>
    <row r="11" ht="60" customHeight="1">
      <c r="A11" s="7" t="n">
        <v>10</v>
      </c>
      <c r="B11" s="7" t="inlineStr">
        <is>
          <t>Compensation Letter 이메일 발송 (배치)</t>
        </is>
      </c>
      <c r="C11" s="7" t="inlineStr">
        <is>
          <t>HR_ADMIN</t>
        </is>
      </c>
      <c r="D11" s="7" t="inlineStr">
        <is>
          <t>Step 9 완료</t>
        </is>
      </c>
      <c r="E11" s="7" t="inlineStr">
        <is>
          <t>복수 직원 대상 일괄 발송</t>
        </is>
      </c>
      <c r="F11" s="7" t="inlineStr">
        <is>
          <t>보상 관리 &gt; 레터 배치 발송 &gt; 대상 선택 &gt; 발송</t>
        </is>
      </c>
      <c r="G11" s="7" t="inlineStr">
        <is>
          <t>이메일이 일괄 발송되고 발송 이력이 기록됨 (/api/v1/compensation/letters/send)</t>
        </is>
      </c>
      <c r="H11" s="6" t="n"/>
      <c r="I11" s="6" t="n"/>
      <c r="J11" s="6" t="n"/>
      <c r="K11" s="6" t="n"/>
    </row>
    <row r="12" ht="60" customHeight="1">
      <c r="A12" s="7" t="n">
        <v>11</v>
      </c>
      <c r="B12" s="7" t="inlineStr">
        <is>
          <t>Compensation Letter 버전 관리</t>
        </is>
      </c>
      <c r="C12" s="7" t="inlineStr">
        <is>
          <t>HR_ADMIN</t>
        </is>
      </c>
      <c r="D12" s="7" t="inlineStr">
        <is>
          <t>한 직원에 복수 레터 발송 이력</t>
        </is>
      </c>
      <c r="E12" s="7" t="inlineStr"/>
      <c r="F12" s="7" t="inlineStr">
        <is>
          <t>직원 상세 &gt; 보상 레터 이력 확인</t>
        </is>
      </c>
      <c r="G12" s="7" t="inlineStr">
        <is>
          <t>동일 직원의 여러 레터가 버전 번호와 함께 표시됨</t>
        </is>
      </c>
      <c r="H12" s="6" t="n"/>
      <c r="I12" s="6" t="n"/>
      <c r="J12" s="6" t="n"/>
      <c r="K12" s="6" t="n"/>
    </row>
    <row r="13" ht="60" customHeight="1">
      <c r="A13" s="7" t="n">
        <v>12</v>
      </c>
      <c r="B13" s="7" t="inlineStr">
        <is>
          <t>Total Rewards Statement (직원)</t>
        </is>
      </c>
      <c r="C13" s="7" t="inlineStr">
        <is>
          <t>EMPLOYEE (employee-a@ctr.co.kr)</t>
        </is>
      </c>
      <c r="D13" s="7" t="inlineStr">
        <is>
          <t>로그인 완료</t>
        </is>
      </c>
      <c r="E13" s="7" t="inlineStr"/>
      <c r="F13" s="7" t="inlineStr">
        <is>
          <t>나의 공간 &gt; 내 총보상 (/my/total-rewards)</t>
        </is>
      </c>
      <c r="G13" s="7" t="inlineStr">
        <is>
          <t>기본급/상여/수당/복리후생/포상 연간 집계 + 도넛 차트 + 트렌드 라인이 표시됨</t>
        </is>
      </c>
      <c r="H13" s="6" t="n"/>
      <c r="I13" s="6" t="n"/>
      <c r="J13" s="6" t="n"/>
      <c r="K13" s="6" t="n"/>
    </row>
    <row r="14" ht="60" customHeight="1">
      <c r="A14" s="7" t="n">
        <v>13</v>
      </c>
      <c r="B14" s="7" t="inlineStr">
        <is>
          <t>PayBandChart 표시 — Profile</t>
        </is>
      </c>
      <c r="C14" s="7" t="inlineStr">
        <is>
          <t>EMPLOYEE (employee-a@ctr.co.kr)</t>
        </is>
      </c>
      <c r="D14" s="7" t="inlineStr">
        <is>
          <t>로그인 완료</t>
        </is>
      </c>
      <c r="E14" s="7" t="inlineStr"/>
      <c r="F14" s="7" t="inlineStr">
        <is>
          <t>내 프로필 &gt; Compensation 영역 확인</t>
        </is>
      </c>
      <c r="G14" s="7" t="inlineStr">
        <is>
          <t>PayBandChart compact 버전이 ProfileSidebar에 표시됨</t>
        </is>
      </c>
      <c r="H14" s="6" t="n"/>
      <c r="I14" s="6" t="n"/>
      <c r="J14" s="6" t="n"/>
      <c r="K14" s="6" t="n"/>
    </row>
    <row r="15" ht="60" customHeight="1">
      <c r="A15" s="7" t="n">
        <v>14</v>
      </c>
      <c r="B15" s="7" t="inlineStr">
        <is>
          <t>PayBandChart 표시 — Simulation</t>
        </is>
      </c>
      <c r="C15" s="7" t="inlineStr">
        <is>
          <t>HR_ADMIN</t>
        </is>
      </c>
      <c r="D15" s="7" t="inlineStr">
        <is>
          <t>보상 시뮬레이션</t>
        </is>
      </c>
      <c r="E15" s="7" t="inlineStr"/>
      <c r="F15" s="7" t="inlineStr">
        <is>
          <t>/compensation/off-cycle/new &gt; 시뮬레이션 탭</t>
        </is>
      </c>
      <c r="G15" s="7" t="inlineStr">
        <is>
          <t>before/after PayBandChart로 변경 전후 비교</t>
        </is>
      </c>
      <c r="H15" s="6" t="n"/>
      <c r="I15" s="6" t="n"/>
      <c r="J15" s="6" t="n"/>
      <c r="K15" s="6" t="n"/>
    </row>
    <row r="16" ht="60" customHeight="1">
      <c r="A16" s="5" t="n">
        <v>15</v>
      </c>
      <c r="B16" s="5" t="inlineStr">
        <is>
          <t>직급별 보상 분포 분석</t>
        </is>
      </c>
      <c r="C16" s="5" t="inlineStr">
        <is>
          <t>HR_ADMIN</t>
        </is>
      </c>
      <c r="D16" s="5" t="inlineStr">
        <is>
          <t>로그인 완료</t>
        </is>
      </c>
      <c r="E16" s="5" t="inlineStr"/>
      <c r="F16" s="5" t="inlineStr">
        <is>
          <t>/analytics/compensation 진입</t>
        </is>
      </c>
      <c r="G16" s="5" t="inlineStr">
        <is>
          <t>직급별 연봉 분포 + 성별 임금격차 (GenderPayGap) 분석 표시</t>
        </is>
      </c>
      <c r="H16" s="6" t="n"/>
      <c r="I16" s="6" t="n"/>
      <c r="J16" s="6" t="n"/>
      <c r="K16" s="6" t="n"/>
    </row>
  </sheetData>
  <conditionalFormatting sqref="I2:I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1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 ht="30" customHeight="1">
      <c r="A1" s="4" t="inlineStr">
        <is>
          <t>#</t>
        </is>
      </c>
      <c r="B1" s="4" t="inlineStr">
        <is>
          <t>기능</t>
        </is>
      </c>
      <c r="C1" s="4" t="inlineStr">
        <is>
          <t>세부기능</t>
        </is>
      </c>
      <c r="D1" s="4" t="inlineStr">
        <is>
          <t>테스트 계정</t>
        </is>
      </c>
      <c r="E1" s="4" t="inlineStr">
        <is>
          <t>확인 (Y/N/NA)</t>
        </is>
      </c>
      <c r="F1" s="4" t="inlineStr">
        <is>
          <t>심각도</t>
        </is>
      </c>
      <c r="G1" s="4" t="inlineStr">
        <is>
          <t>테스터</t>
        </is>
      </c>
      <c r="H1" s="4" t="inlineStr">
        <is>
          <t>날짜</t>
        </is>
      </c>
      <c r="I1" s="4" t="inlineStr">
        <is>
          <t>비고</t>
        </is>
      </c>
    </row>
    <row r="2" ht="24" customHeight="1">
      <c r="A2" s="5" t="n">
        <v>1</v>
      </c>
      <c r="B2" s="5" t="inlineStr">
        <is>
          <t>분석</t>
        </is>
      </c>
      <c r="C2" s="5" t="inlineStr">
        <is>
          <t>경영진 요약 대시보드 (/analytics)</t>
        </is>
      </c>
      <c r="D2" s="5" t="inlineStr">
        <is>
          <t>EXECUTIVE / HR_ADMIN</t>
        </is>
      </c>
      <c r="E2" s="8" t="n"/>
      <c r="F2" s="8" t="n"/>
      <c r="G2" s="8" t="n"/>
      <c r="H2" s="8" t="n"/>
      <c r="I2" s="8" t="n"/>
    </row>
    <row r="3" ht="24" customHeight="1">
      <c r="A3" s="5" t="n">
        <v>2</v>
      </c>
      <c r="B3" s="5" t="inlineStr">
        <is>
          <t>인력 분석</t>
        </is>
      </c>
      <c r="C3" s="5" t="inlineStr">
        <is>
          <t>인력 현황 분석 (/analytics/workforce)</t>
        </is>
      </c>
      <c r="D3" s="5" t="inlineStr">
        <is>
          <t>HR_ADMIN</t>
        </is>
      </c>
      <c r="E3" s="8" t="n"/>
      <c r="F3" s="8" t="n"/>
      <c r="G3" s="8" t="n"/>
      <c r="H3" s="8" t="n"/>
      <c r="I3" s="8" t="n"/>
    </row>
    <row r="4" ht="24" customHeight="1">
      <c r="A4" s="5" t="n">
        <v>3</v>
      </c>
      <c r="B4" s="5" t="inlineStr">
        <is>
          <t>급여 분석</t>
        </is>
      </c>
      <c r="C4" s="5" t="inlineStr">
        <is>
          <t>급여 통계 (/analytics/payroll)</t>
        </is>
      </c>
      <c r="D4" s="5" t="inlineStr">
        <is>
          <t>HR_ADMIN</t>
        </is>
      </c>
      <c r="E4" s="8" t="n"/>
      <c r="F4" s="8" t="n"/>
      <c r="G4" s="8" t="n"/>
      <c r="H4" s="8" t="n"/>
      <c r="I4" s="8" t="n"/>
    </row>
    <row r="5" ht="24" customHeight="1">
      <c r="A5" s="5" t="n">
        <v>4</v>
      </c>
      <c r="B5" s="5" t="inlineStr">
        <is>
          <t>성과 분석</t>
        </is>
      </c>
      <c r="C5" s="5" t="inlineStr">
        <is>
          <t>성과 분석 (/analytics/performance)</t>
        </is>
      </c>
      <c r="D5" s="5" t="inlineStr">
        <is>
          <t>HR_ADMIN</t>
        </is>
      </c>
      <c r="E5" s="8" t="n"/>
      <c r="F5" s="8" t="n"/>
      <c r="G5" s="8" t="n"/>
      <c r="H5" s="8" t="n"/>
      <c r="I5" s="8" t="n"/>
    </row>
    <row r="6" ht="24" customHeight="1">
      <c r="A6" s="5" t="n">
        <v>5</v>
      </c>
      <c r="B6" s="5" t="inlineStr">
        <is>
          <t>출퇴근 분석</t>
        </is>
      </c>
      <c r="C6" s="5" t="inlineStr">
        <is>
          <t>근태 분석 (/analytics/attendance)</t>
        </is>
      </c>
      <c r="D6" s="5" t="inlineStr">
        <is>
          <t>HR_ADMIN</t>
        </is>
      </c>
      <c r="E6" s="8" t="n"/>
      <c r="F6" s="8" t="n"/>
      <c r="G6" s="8" t="n"/>
      <c r="H6" s="8" t="n"/>
      <c r="I6" s="8" t="n"/>
    </row>
    <row r="7" ht="24" customHeight="1">
      <c r="A7" s="5" t="n">
        <v>6</v>
      </c>
      <c r="B7" s="5" t="inlineStr">
        <is>
          <t>이직 분석</t>
        </is>
      </c>
      <c r="C7" s="5" t="inlineStr">
        <is>
          <t>이직률 분석 (/analytics/turnover)</t>
        </is>
      </c>
      <c r="D7" s="5" t="inlineStr">
        <is>
          <t>HR_ADMIN</t>
        </is>
      </c>
      <c r="E7" s="8" t="n"/>
      <c r="F7" s="8" t="n"/>
      <c r="G7" s="8" t="n"/>
      <c r="H7" s="8" t="n"/>
      <c r="I7" s="8" t="n"/>
    </row>
    <row r="8" ht="24" customHeight="1">
      <c r="A8" s="5" t="n">
        <v>7</v>
      </c>
      <c r="B8" s="5" t="inlineStr">
        <is>
          <t>팀 건강도</t>
        </is>
      </c>
      <c r="C8" s="5" t="inlineStr">
        <is>
          <t>팀 건강도 지표 (/analytics/team-health)</t>
        </is>
      </c>
      <c r="D8" s="5" t="inlineStr">
        <is>
          <t>HR_ADMIN</t>
        </is>
      </c>
      <c r="E8" s="8" t="n"/>
      <c r="F8" s="8" t="n"/>
      <c r="G8" s="8" t="n"/>
      <c r="H8" s="8" t="n"/>
      <c r="I8" s="8" t="n"/>
    </row>
    <row r="9" ht="24" customHeight="1">
      <c r="A9" s="5" t="n">
        <v>8</v>
      </c>
      <c r="B9" s="5" t="inlineStr">
        <is>
          <t>AI 리포트</t>
        </is>
      </c>
      <c r="C9" s="5" t="inlineStr">
        <is>
          <t>AI 기반 분석 리포트 (Claude) (/analytics/ai-report)</t>
        </is>
      </c>
      <c r="D9" s="5" t="inlineStr">
        <is>
          <t>HR_ADMIN</t>
        </is>
      </c>
      <c r="E9" s="8" t="n"/>
      <c r="F9" s="8" t="n"/>
      <c r="G9" s="8" t="n"/>
      <c r="H9" s="8" t="n"/>
      <c r="I9" s="8" t="n"/>
    </row>
    <row r="10" ht="24" customHeight="1">
      <c r="A10" s="5" t="n">
        <v>9</v>
      </c>
      <c r="B10" s="5" t="inlineStr">
        <is>
          <t>채용 분석</t>
        </is>
      </c>
      <c r="C10" s="5" t="inlineStr">
        <is>
          <t>채용 파이프라인 분석 (/analytics/recruitment)</t>
        </is>
      </c>
      <c r="D10" s="5" t="inlineStr">
        <is>
          <t>HR_ADMIN</t>
        </is>
      </c>
      <c r="E10" s="8" t="n"/>
      <c r="F10" s="8" t="n"/>
      <c r="G10" s="8" t="n"/>
      <c r="H10" s="8" t="n"/>
      <c r="I10" s="8" t="n"/>
    </row>
    <row r="11" ht="24" customHeight="1">
      <c r="A11" s="5" t="n">
        <v>10</v>
      </c>
      <c r="B11" s="5" t="inlineStr">
        <is>
          <t>보상 분석</t>
        </is>
      </c>
      <c r="C11" s="5" t="inlineStr">
        <is>
          <t>보상 분석 (/analytics/compensation)</t>
        </is>
      </c>
      <c r="D11" s="5" t="inlineStr">
        <is>
          <t>HR_ADMIN</t>
        </is>
      </c>
      <c r="E11" s="8" t="n"/>
      <c r="F11" s="8" t="n"/>
      <c r="G11" s="8" t="n"/>
      <c r="H11" s="8" t="n"/>
      <c r="I11" s="8" t="n"/>
    </row>
    <row r="12" ht="24" customHeight="1">
      <c r="A12" s="5" t="n">
        <v>11</v>
      </c>
      <c r="B12" s="5" t="inlineStr">
        <is>
          <t>성별 임금격차</t>
        </is>
      </c>
      <c r="C12" s="5" t="inlineStr">
        <is>
          <t>성별 임금 격차 분석 (/analytics/gender-pay-gap)</t>
        </is>
      </c>
      <c r="D12" s="5" t="inlineStr">
        <is>
          <t>HR_ADMIN</t>
        </is>
      </c>
      <c r="E12" s="8" t="n"/>
      <c r="F12" s="8" t="n"/>
      <c r="G12" s="8" t="n"/>
      <c r="H12" s="8" t="n"/>
      <c r="I12" s="8" t="n"/>
    </row>
    <row r="13" ht="24" customHeight="1">
      <c r="A13" s="5" t="n">
        <v>12</v>
      </c>
      <c r="B13" s="5" t="inlineStr">
        <is>
          <t>이탈 분석</t>
        </is>
      </c>
      <c r="C13" s="5" t="inlineStr">
        <is>
          <t>이탈 분석 (/analytics/attrition)</t>
        </is>
      </c>
      <c r="D13" s="5" t="inlineStr">
        <is>
          <t>HR_ADMIN</t>
        </is>
      </c>
      <c r="E13" s="8" t="n"/>
      <c r="F13" s="8" t="n"/>
      <c r="G13" s="8" t="n"/>
      <c r="H13" s="8" t="n"/>
      <c r="I13" s="8" t="n"/>
    </row>
    <row r="14" ht="24" customHeight="1">
      <c r="A14" s="5" t="n">
        <v>13</v>
      </c>
      <c r="B14" s="5" t="inlineStr">
        <is>
          <t>예측 모델</t>
        </is>
      </c>
      <c r="C14" s="5" t="inlineStr">
        <is>
          <t>예측 분석 (/analytics/predictive)</t>
        </is>
      </c>
      <c r="D14" s="5" t="inlineStr">
        <is>
          <t>HR_ADMIN</t>
        </is>
      </c>
      <c r="E14" s="8" t="n"/>
      <c r="F14" s="8" t="n"/>
      <c r="G14" s="8" t="n"/>
      <c r="H14" s="8" t="n"/>
      <c r="I14" s="8" t="n"/>
    </row>
    <row r="15" ht="24" customHeight="1">
      <c r="A15" s="5" t="n">
        <v>14</v>
      </c>
      <c r="B15" s="5" t="inlineStr">
        <is>
          <t>예측 모델</t>
        </is>
      </c>
      <c r="C15" s="5" t="inlineStr">
        <is>
          <t>직원별 예측 (/analytics/predictive/[employeeId])</t>
        </is>
      </c>
      <c r="D15" s="5" t="inlineStr">
        <is>
          <t>HR_ADMIN</t>
        </is>
      </c>
      <c r="E15" s="8" t="n"/>
      <c r="F15" s="8" t="n"/>
      <c r="G15" s="8" t="n"/>
      <c r="H15" s="8" t="n"/>
      <c r="I15" s="8" t="n"/>
    </row>
    <row r="16" ht="24" customHeight="1">
      <c r="A16" s="5" t="n">
        <v>15</v>
      </c>
      <c r="B16" s="5" t="inlineStr">
        <is>
          <t>리포트</t>
        </is>
      </c>
      <c r="C16" s="5" t="inlineStr">
        <is>
          <t>커스텀 리포트 (/analytics/report)</t>
        </is>
      </c>
      <c r="D16" s="5" t="inlineStr">
        <is>
          <t>HR_ADMIN</t>
        </is>
      </c>
      <c r="E16" s="8" t="n"/>
      <c r="F16" s="8" t="n"/>
      <c r="G16" s="8" t="n"/>
      <c r="H16" s="8" t="n"/>
      <c r="I16" s="8" t="n"/>
    </row>
    <row r="17" ht="24" customHeight="1">
      <c r="A17" s="5" t="n">
        <v>16</v>
      </c>
      <c r="B17" s="5" t="inlineStr">
        <is>
          <t>대시보드</t>
        </is>
      </c>
      <c r="C17" s="5" t="inlineStr">
        <is>
          <t>대시보드 비교 (/dashboard/compare)</t>
        </is>
      </c>
      <c r="D17" s="5" t="inlineStr">
        <is>
          <t>HR_ADMIN</t>
        </is>
      </c>
      <c r="E17" s="8" t="n"/>
      <c r="F17" s="8" t="n"/>
      <c r="G17" s="8" t="n"/>
      <c r="H17" s="8" t="n"/>
      <c r="I17" s="8" t="n"/>
    </row>
    <row r="18" ht="24" customHeight="1">
      <c r="A18" s="5" t="n">
        <v>17</v>
      </c>
      <c r="B18" s="5" t="inlineStr">
        <is>
          <t>TTM</t>
        </is>
      </c>
      <c r="C18" s="5" t="inlineStr">
        <is>
          <t>TTM (Trailing Twelve Months) 기본값 작동</t>
        </is>
      </c>
      <c r="D18" s="5" t="inlineStr">
        <is>
          <t>HR_ADMIN</t>
        </is>
      </c>
      <c r="E18" s="8" t="n"/>
      <c r="F18" s="8" t="n"/>
      <c r="G18" s="8" t="n"/>
      <c r="H18" s="8" t="n"/>
      <c r="I18" s="8" t="n"/>
    </row>
    <row r="19" ht="24" customHeight="1">
      <c r="A19" s="5" t="n">
        <v>18</v>
      </c>
      <c r="B19" s="5" t="inlineStr">
        <is>
          <t>KRW 환산</t>
        </is>
      </c>
      <c r="C19" s="5" t="inlineStr">
        <is>
          <t>해외 법인 통화 KRW 자동 환산</t>
        </is>
      </c>
      <c r="D19" s="5" t="inlineStr">
        <is>
          <t>HR_ADMIN</t>
        </is>
      </c>
      <c r="E19" s="8" t="n"/>
      <c r="F19" s="8" t="n"/>
      <c r="G19" s="8" t="n"/>
      <c r="H19" s="8" t="n"/>
      <c r="I19" s="8" t="n"/>
    </row>
  </sheetData>
  <dataValidations count="2">
    <dataValidation sqref="E2:E19" showDropDown="0" showInputMessage="0" showErrorMessage="0" allowBlank="1" type="list">
      <formula1>"Y,N,NA"</formula1>
    </dataValidation>
    <dataValidation sqref="F2:F19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5" t="n">
        <v>1</v>
      </c>
      <c r="B2" s="5" t="inlineStr">
        <is>
          <t>온보딩 마일스톤 (DAY_1)</t>
        </is>
      </c>
      <c r="C2" s="5" t="inlineStr">
        <is>
          <t>HR_ADMIN</t>
        </is>
      </c>
      <c r="D2" s="5" t="inlineStr">
        <is>
          <t>신규 입사자 등록 후</t>
        </is>
      </c>
      <c r="E2" s="5" t="inlineStr">
        <is>
          <t>대상: 테스트직원 (인사관리 Step 6)</t>
        </is>
      </c>
      <c r="F2" s="5" t="inlineStr">
        <is>
          <t>/onboarding 진입 &gt; 대상 직원 선택 &gt; DAY_1 태스크 확인</t>
        </is>
      </c>
      <c r="G2" s="5" t="inlineStr">
        <is>
          <t>DAY_1/7/30/90 4단계 마일스톤이 자동 생성되고 상태가 표시됨</t>
        </is>
      </c>
      <c r="H2" s="6" t="n"/>
      <c r="I2" s="6" t="n"/>
      <c r="J2" s="6" t="n"/>
      <c r="K2" s="6" t="n"/>
    </row>
    <row r="3" ht="60" customHeight="1">
      <c r="A3" s="5" t="n">
        <v>2</v>
      </c>
      <c r="B3" s="5" t="inlineStr">
        <is>
          <t>온보딩 체크인 (직원)</t>
        </is>
      </c>
      <c r="C3" s="5" t="inlineStr">
        <is>
          <t>EMPLOYEE (신입)</t>
        </is>
      </c>
      <c r="D3" s="5" t="inlineStr">
        <is>
          <t>온보딩 진행 중</t>
        </is>
      </c>
      <c r="E3" s="5" t="inlineStr"/>
      <c r="F3" s="5" t="inlineStr">
        <is>
          <t>나의 공간 &gt; 나의 온보딩 &gt; 체크인 (/onboarding/checkin)</t>
        </is>
      </c>
      <c r="G3" s="5" t="inlineStr">
        <is>
          <t>신입사원 주간 체크인 폼이 표시되고 제출 가능</t>
        </is>
      </c>
      <c r="H3" s="6" t="n"/>
      <c r="I3" s="6" t="n"/>
      <c r="J3" s="6" t="n"/>
      <c r="K3" s="6" t="n"/>
    </row>
    <row r="4" ht="60" customHeight="1">
      <c r="A4" s="5" t="n">
        <v>3</v>
      </c>
      <c r="B4" s="5" t="inlineStr">
        <is>
          <t>온보딩 체크인 대시보드 (HR)</t>
        </is>
      </c>
      <c r="C4" s="5" t="inlineStr">
        <is>
          <t>HR_ADMIN</t>
        </is>
      </c>
      <c r="D4" s="5" t="inlineStr">
        <is>
          <t>Step 2 완료</t>
        </is>
      </c>
      <c r="E4" s="5" t="inlineStr"/>
      <c r="F4" s="5" t="inlineStr">
        <is>
          <t>/onboarding/checkins 진입</t>
        </is>
      </c>
      <c r="G4" s="5" t="inlineStr">
        <is>
          <t>HR 관리자 체크인 대시보드에 신입 응답 집계 표시</t>
        </is>
      </c>
      <c r="H4" s="6" t="n"/>
      <c r="I4" s="6" t="n"/>
      <c r="J4" s="6" t="n"/>
      <c r="K4" s="6" t="n"/>
    </row>
    <row r="5" ht="60" customHeight="1">
      <c r="A5" s="5" t="n">
        <v>4</v>
      </c>
      <c r="B5" s="5" t="inlineStr">
        <is>
          <t>오프보딩 시작 → 4 게이트 생성</t>
        </is>
      </c>
      <c r="C5" s="5" t="inlineStr">
        <is>
          <t>HR_ADMIN</t>
        </is>
      </c>
      <c r="D5" s="5" t="inlineStr">
        <is>
          <t>퇴사 예정자 존재 (EDGE-007)</t>
        </is>
      </c>
      <c r="E5" s="5" t="inlineStr">
        <is>
          <t>오퇴사 (EDGE-007)</t>
        </is>
      </c>
      <c r="F5" s="5" t="inlineStr">
        <is>
          <t>직원 상세 &gt; 오프보딩 시작</t>
        </is>
      </c>
      <c r="G5" s="5" t="inlineStr">
        <is>
          <t>4 게이트 체크리스트 자동 생성 (IT계정/퇴직면담/인수인계/자산반납) + D-day 배지 표시</t>
        </is>
      </c>
      <c r="H5" s="6" t="n"/>
      <c r="I5" s="6" t="n"/>
      <c r="J5" s="6" t="n"/>
      <c r="K5" s="6" t="n"/>
    </row>
    <row r="6" ht="60" customHeight="1">
      <c r="A6" s="7" t="n">
        <v>5</v>
      </c>
      <c r="B6" s="7" t="inlineStr">
        <is>
          <t>오프보딩 게이트 1: IT 계정 회수</t>
        </is>
      </c>
      <c r="C6" s="7" t="inlineStr">
        <is>
          <t>HR_ADMIN</t>
        </is>
      </c>
      <c r="D6" s="7" t="inlineStr">
        <is>
          <t>Step 4 완료</t>
        </is>
      </c>
      <c r="E6" s="7" t="inlineStr"/>
      <c r="F6" s="7" t="inlineStr">
        <is>
          <t>오프보딩 상세 &gt; IT 계정 게이트 진입 &gt; 회수 완료 체크</t>
        </is>
      </c>
      <c r="G6" s="7" t="inlineStr">
        <is>
          <t>IT 계정 게이트 완료. 미완료 시 후속 게이트 진행 불가 (강제 집행 엔진)</t>
        </is>
      </c>
      <c r="H6" s="6" t="n"/>
      <c r="I6" s="6" t="n"/>
      <c r="J6" s="6" t="n"/>
      <c r="K6" s="6" t="n"/>
    </row>
    <row r="7" ht="60" customHeight="1">
      <c r="A7" s="7" t="n">
        <v>6</v>
      </c>
      <c r="B7" s="7" t="inlineStr">
        <is>
          <t>오프보딩 게이트 2: 퇴직 면담</t>
        </is>
      </c>
      <c r="C7" s="7" t="inlineStr">
        <is>
          <t>HR_ADMIN</t>
        </is>
      </c>
      <c r="D7" s="7" t="inlineStr">
        <is>
          <t>Step 5 완료</t>
        </is>
      </c>
      <c r="E7" s="7" t="inlineStr"/>
      <c r="F7" s="7" t="inlineStr">
        <is>
          <t>/offboarding/exit-interviews 진입 &gt; 퇴직 면담 기록 (5-record privacy)</t>
        </is>
      </c>
      <c r="G7" s="7" t="inlineStr">
        <is>
          <t>퇴직 면담이 익명·익명 처리되어 기록됨 (5명 이상 모집 시에만 통계 공개)</t>
        </is>
      </c>
      <c r="H7" s="6" t="n"/>
      <c r="I7" s="6" t="n"/>
      <c r="J7" s="6" t="n"/>
      <c r="K7" s="6" t="n"/>
    </row>
    <row r="8" ht="60" customHeight="1">
      <c r="A8" s="7" t="n">
        <v>7</v>
      </c>
      <c r="B8" s="7" t="inlineStr">
        <is>
          <t>오프보딩 게이트 3: 인수인계 워크플로</t>
        </is>
      </c>
      <c r="C8" s="7" t="inlineStr">
        <is>
          <t>HR_ADMIN</t>
        </is>
      </c>
      <c r="D8" s="7" t="inlineStr">
        <is>
          <t>Step 6 완료</t>
        </is>
      </c>
      <c r="E8" s="7" t="inlineStr">
        <is>
          <t>인수자: 정다은</t>
        </is>
      </c>
      <c r="F8" s="7" t="inlineStr">
        <is>
          <t>오프보딩 상세 &gt; 인수인계 게이트 &gt; 인수자 지정 &gt; 인계 태스크 생성</t>
        </is>
      </c>
      <c r="G8" s="7" t="inlineStr">
        <is>
          <t>인수자 지정 + 인계 태스크 필터 뷰 + 진행률 바 표시</t>
        </is>
      </c>
      <c r="H8" s="6" t="n"/>
      <c r="I8" s="6" t="n"/>
      <c r="J8" s="6" t="n"/>
      <c r="K8" s="6" t="n"/>
    </row>
    <row r="9" ht="60" customHeight="1">
      <c r="A9" s="7" t="n">
        <v>8</v>
      </c>
      <c r="B9" s="7" t="inlineStr">
        <is>
          <t>오프보딩 게이트 4: 자산 반납</t>
        </is>
      </c>
      <c r="C9" s="7" t="inlineStr">
        <is>
          <t>HR_ADMIN</t>
        </is>
      </c>
      <c r="D9" s="7" t="inlineStr">
        <is>
          <t>Step 7 완료</t>
        </is>
      </c>
      <c r="E9" s="7" t="inlineStr"/>
      <c r="F9" s="7" t="inlineStr">
        <is>
          <t>오프보딩 상세 &gt; 자산 반납 게이트 &gt; 6-country 규칙 확인</t>
        </is>
      </c>
      <c r="G9" s="7" t="inlineStr">
        <is>
          <t>자산 반납 게이트 완료 (6-country 규칙 적용 — KR/CN/US/MX/VN/RU 별)</t>
        </is>
      </c>
      <c r="H9" s="6" t="n"/>
      <c r="I9" s="6" t="n"/>
      <c r="J9" s="6" t="n"/>
      <c r="K9" s="6" t="n"/>
    </row>
    <row r="10" ht="60" customHeight="1">
      <c r="A10" s="7" t="n">
        <v>9</v>
      </c>
      <c r="B10" s="7" t="inlineStr">
        <is>
          <t>4 게이트 완료 → COMPLETED 전이</t>
        </is>
      </c>
      <c r="C10" s="7" t="inlineStr">
        <is>
          <t>HR_ADMIN</t>
        </is>
      </c>
      <c r="D10" s="7" t="inlineStr">
        <is>
          <t>모든 게이트 완료</t>
        </is>
      </c>
      <c r="E10" s="7" t="inlineStr"/>
      <c r="F10" s="7" t="inlineStr">
        <is>
          <t>오프보딩 상세에서 최종 완료 버튼 클릭</t>
        </is>
      </c>
      <c r="G10" s="7" t="inlineStr">
        <is>
          <t>오프보딩 COMPLETED 상태로 전환. 게이트 미완료 시 전이 차단 검증</t>
        </is>
      </c>
      <c r="H10" s="6" t="n"/>
      <c r="I10" s="6" t="n"/>
      <c r="J10" s="6" t="n"/>
      <c r="K10" s="6" t="n"/>
    </row>
    <row r="11" ht="60" customHeight="1">
      <c r="A11" s="7" t="n">
        <v>10</v>
      </c>
      <c r="B11" s="7" t="inlineStr">
        <is>
          <t>재고용 방지 (do-not-rehire) 토글</t>
        </is>
      </c>
      <c r="C11" s="7" t="inlineStr">
        <is>
          <t>HR_ADMIN</t>
        </is>
      </c>
      <c r="D11" s="7" t="inlineStr">
        <is>
          <t>Step 9 완료</t>
        </is>
      </c>
      <c r="E11" s="7" t="inlineStr">
        <is>
          <t>사유: 정책 위반</t>
        </is>
      </c>
      <c r="F11" s="7" t="inlineStr">
        <is>
          <t>오프보딩 완료 후 do-not-rehire 토글 ON + 사유 기록</t>
        </is>
      </c>
      <c r="G11" s="7" t="inlineStr">
        <is>
          <t>do-not-rehire 플래그가 활성화되고 채용 모듈에서 차단 가능</t>
        </is>
      </c>
      <c r="H11" s="6" t="n"/>
      <c r="I11" s="6" t="n"/>
      <c r="J11" s="6" t="n"/>
      <c r="K11" s="6" t="n"/>
    </row>
    <row r="12" ht="60" customHeight="1">
      <c r="A12" s="7" t="n">
        <v>11</v>
      </c>
      <c r="B12" s="7" t="inlineStr">
        <is>
          <t>채용 시 재고용 차단 검증</t>
        </is>
      </c>
      <c r="C12" s="7" t="inlineStr">
        <is>
          <t>HR_ADMIN</t>
        </is>
      </c>
      <c r="D12" s="7" t="inlineStr">
        <is>
          <t>Step 10 완료</t>
        </is>
      </c>
      <c r="E12" s="7" t="inlineStr">
        <is>
          <t>동일 인물 채용 시도</t>
        </is>
      </c>
      <c r="F12" s="7" t="inlineStr">
        <is>
          <t>채용 &gt; 새 지원자 등록 시 do-not-rehire 직원 이메일/이름 입력</t>
        </is>
      </c>
      <c r="G12" s="7" t="inlineStr">
        <is>
          <t>중복 체크 시 경고 또는 차단 표시</t>
        </is>
      </c>
      <c r="H12" s="6" t="n"/>
      <c r="I12" s="6" t="n"/>
      <c r="J12" s="6" t="n"/>
      <c r="K12" s="6" t="n"/>
    </row>
    <row r="13" ht="60" customHeight="1">
      <c r="A13" s="7" t="n">
        <v>12</v>
      </c>
      <c r="B13" s="7" t="inlineStr">
        <is>
          <t>OffboardingDocument 수집</t>
        </is>
      </c>
      <c r="C13" s="7" t="inlineStr">
        <is>
          <t>HR_ADMIN</t>
        </is>
      </c>
      <c r="D13" s="7" t="inlineStr">
        <is>
          <t>오프보딩 진행 중</t>
        </is>
      </c>
      <c r="E13" s="7" t="inlineStr"/>
      <c r="F13" s="7" t="inlineStr">
        <is>
          <t>오프보딩 상세 &gt; 문서 수집 CRUD</t>
        </is>
      </c>
      <c r="G13" s="7" t="inlineStr">
        <is>
          <t>CONSENT/HANDOVER/EXIT/NDA 4 종 문서 업로드 + 관리 가능</t>
        </is>
      </c>
      <c r="H13" s="6" t="n"/>
      <c r="I13" s="6" t="n"/>
      <c r="J13" s="6" t="n"/>
      <c r="K13" s="6" t="n"/>
    </row>
    <row r="14" ht="60" customHeight="1">
      <c r="A14" s="7" t="n">
        <v>13</v>
      </c>
      <c r="B14" s="7" t="inlineStr">
        <is>
          <t>퇴직 분석 대시보드</t>
        </is>
      </c>
      <c r="C14" s="7" t="inlineStr">
        <is>
          <t>HR_ADMIN</t>
        </is>
      </c>
      <c r="D14" s="7" t="inlineStr">
        <is>
          <t>퇴직 데이터 누적</t>
        </is>
      </c>
      <c r="E14" s="7" t="inlineStr"/>
      <c r="F14" s="7" t="inlineStr">
        <is>
          <t>/analytics/turnover 또는 오프보딩 분석</t>
        </is>
      </c>
      <c r="G14" s="7" t="inlineStr">
        <is>
          <t>이직 원인/만족도/재직기간/월별 트렌드가 시각화됨</t>
        </is>
      </c>
      <c r="H14" s="6" t="n"/>
      <c r="I14" s="6" t="n"/>
      <c r="J14" s="6" t="n"/>
      <c r="K14" s="6" t="n"/>
    </row>
    <row r="15" ht="60" customHeight="1">
      <c r="A15" s="5" t="n">
        <v>14</v>
      </c>
      <c r="B15" s="5" t="inlineStr">
        <is>
          <t>내 온보딩 (직원 뷰)</t>
        </is>
      </c>
      <c r="C15" s="5" t="inlineStr">
        <is>
          <t>EMPLOYEE (신입)</t>
        </is>
      </c>
      <c r="D15" s="5" t="inlineStr">
        <is>
          <t>온보딩 진행 중</t>
        </is>
      </c>
      <c r="E15" s="5" t="inlineStr"/>
      <c r="F15" s="5" t="inlineStr">
        <is>
          <t>/onboarding/me 진입</t>
        </is>
      </c>
      <c r="G15" s="5" t="inlineStr">
        <is>
          <t>직원 본인의 온보딩 진행 상황 + 마일스톤 + 태스크 표시</t>
        </is>
      </c>
      <c r="H15" s="6" t="n"/>
      <c r="I15" s="6" t="n"/>
      <c r="J15" s="6" t="n"/>
      <c r="K15" s="6" t="n"/>
    </row>
    <row r="16" ht="60" customHeight="1">
      <c r="A16" s="5" t="n">
        <v>15</v>
      </c>
      <c r="B16" s="5" t="inlineStr">
        <is>
          <t>내 오프보딩 (직원 뷰)</t>
        </is>
      </c>
      <c r="C16" s="5" t="inlineStr">
        <is>
          <t>EMPLOYEE (퇴사 예정)</t>
        </is>
      </c>
      <c r="D16" s="5" t="inlineStr">
        <is>
          <t>오프보딩 시작됨</t>
        </is>
      </c>
      <c r="E16" s="5" t="inlineStr"/>
      <c r="F16" s="5" t="inlineStr">
        <is>
          <t>/my/offboarding 진입</t>
        </is>
      </c>
      <c r="G16" s="5" t="inlineStr">
        <is>
          <t>직원 본인의 오프보딩 진행 상황 + 4 게이트 진행률 표시</t>
        </is>
      </c>
      <c r="H16" s="6" t="n"/>
      <c r="I16" s="6" t="n"/>
      <c r="J16" s="6" t="n"/>
      <c r="K16" s="6" t="n"/>
    </row>
  </sheetData>
  <conditionalFormatting sqref="I2:I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1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 ht="30" customHeight="1">
      <c r="A1" s="4" t="inlineStr">
        <is>
          <t>#</t>
        </is>
      </c>
      <c r="B1" s="4" t="inlineStr">
        <is>
          <t>기능</t>
        </is>
      </c>
      <c r="C1" s="4" t="inlineStr">
        <is>
          <t>세부기능</t>
        </is>
      </c>
      <c r="D1" s="4" t="inlineStr">
        <is>
          <t>테스트 계정</t>
        </is>
      </c>
      <c r="E1" s="4" t="inlineStr">
        <is>
          <t>확인 (Y/N/NA)</t>
        </is>
      </c>
      <c r="F1" s="4" t="inlineStr">
        <is>
          <t>심각도</t>
        </is>
      </c>
      <c r="G1" s="4" t="inlineStr">
        <is>
          <t>테스터</t>
        </is>
      </c>
      <c r="H1" s="4" t="inlineStr">
        <is>
          <t>날짜</t>
        </is>
      </c>
      <c r="I1" s="4" t="inlineStr">
        <is>
          <t>비고</t>
        </is>
      </c>
    </row>
    <row r="2" ht="24" customHeight="1">
      <c r="A2" s="5" t="n">
        <v>1</v>
      </c>
      <c r="B2" s="5" t="inlineStr">
        <is>
          <t>컴플라이언스</t>
        </is>
      </c>
      <c r="C2" s="5" t="inlineStr">
        <is>
          <t>컴플라이언스 허브 (/compliance)</t>
        </is>
      </c>
      <c r="D2" s="5" t="inlineStr">
        <is>
          <t>HR_ADMIN</t>
        </is>
      </c>
      <c r="E2" s="8" t="n"/>
      <c r="F2" s="8" t="n"/>
      <c r="G2" s="8" t="n"/>
      <c r="H2" s="8" t="n"/>
      <c r="I2" s="8" t="n"/>
    </row>
    <row r="3" ht="24" customHeight="1">
      <c r="A3" s="5" t="n">
        <v>2</v>
      </c>
      <c r="B3" s="5" t="inlineStr">
        <is>
          <t>GDPR</t>
        </is>
      </c>
      <c r="C3" s="5" t="inlineStr">
        <is>
          <t>GDPR 관리 (/compliance/gdpr)</t>
        </is>
      </c>
      <c r="D3" s="5" t="inlineStr">
        <is>
          <t>HR_ADMIN</t>
        </is>
      </c>
      <c r="E3" s="8" t="n"/>
      <c r="F3" s="8" t="n"/>
      <c r="G3" s="8" t="n"/>
      <c r="H3" s="8" t="n"/>
      <c r="I3" s="8" t="n"/>
    </row>
    <row r="4" ht="24" customHeight="1">
      <c r="A4" s="5" t="n">
        <v>3</v>
      </c>
      <c r="B4" s="5" t="inlineStr">
        <is>
          <t>DPIA</t>
        </is>
      </c>
      <c r="C4" s="5" t="inlineStr">
        <is>
          <t>DPIA 평가 (/compliance/dpia)</t>
        </is>
      </c>
      <c r="D4" s="5" t="inlineStr">
        <is>
          <t>HR_ADMIN</t>
        </is>
      </c>
      <c r="E4" s="8" t="n"/>
      <c r="F4" s="8" t="n"/>
      <c r="G4" s="8" t="n"/>
      <c r="H4" s="8" t="n"/>
      <c r="I4" s="8" t="n"/>
    </row>
    <row r="5" ht="24" customHeight="1">
      <c r="A5" s="5" t="n">
        <v>4</v>
      </c>
      <c r="B5" s="5" t="inlineStr">
        <is>
          <t>데이터 보존</t>
        </is>
      </c>
      <c r="C5" s="5" t="inlineStr">
        <is>
          <t>데이터 보존 정책 (/compliance/data-retention)</t>
        </is>
      </c>
      <c r="D5" s="5" t="inlineStr">
        <is>
          <t>HR_ADMIN</t>
        </is>
      </c>
      <c r="E5" s="8" t="n"/>
      <c r="F5" s="8" t="n"/>
      <c r="G5" s="8" t="n"/>
      <c r="H5" s="8" t="n"/>
      <c r="I5" s="8" t="n"/>
    </row>
    <row r="6" ht="24" customHeight="1">
      <c r="A6" s="5" t="n">
        <v>5</v>
      </c>
      <c r="B6" s="5" t="inlineStr">
        <is>
          <t>PII 감사</t>
        </is>
      </c>
      <c r="C6" s="5" t="inlineStr">
        <is>
          <t>PII 감사 로그 (/compliance/pii-audit)</t>
        </is>
      </c>
      <c r="D6" s="5" t="inlineStr">
        <is>
          <t>HR_ADMIN</t>
        </is>
      </c>
      <c r="E6" s="8" t="n"/>
      <c r="F6" s="8" t="n"/>
      <c r="G6" s="8" t="n"/>
      <c r="H6" s="8" t="n"/>
      <c r="I6" s="8" t="n"/>
    </row>
    <row r="7" ht="24" customHeight="1">
      <c r="A7" s="5" t="n">
        <v>6</v>
      </c>
      <c r="B7" s="5" t="inlineStr">
        <is>
          <t>한국 규정</t>
        </is>
      </c>
      <c r="C7" s="5" t="inlineStr">
        <is>
          <t>한국 노동법 준수 (/compliance/kr)</t>
        </is>
      </c>
      <c r="D7" s="5" t="inlineStr">
        <is>
          <t>HR_ADMIN</t>
        </is>
      </c>
      <c r="E7" s="8" t="n"/>
      <c r="F7" s="8" t="n"/>
      <c r="G7" s="8" t="n"/>
      <c r="H7" s="8" t="n"/>
      <c r="I7" s="8" t="n"/>
    </row>
    <row r="8" ht="24" customHeight="1">
      <c r="A8" s="5" t="n">
        <v>7</v>
      </c>
      <c r="B8" s="5" t="inlineStr">
        <is>
          <t>중국 규정</t>
        </is>
      </c>
      <c r="C8" s="5" t="inlineStr">
        <is>
          <t>중국 노동법 준수 (/compliance/cn)</t>
        </is>
      </c>
      <c r="D8" s="5" t="inlineStr">
        <is>
          <t>HR_ADMIN (hr@ctr-cn.com)</t>
        </is>
      </c>
      <c r="E8" s="8" t="n"/>
      <c r="F8" s="8" t="n"/>
      <c r="G8" s="8" t="n"/>
      <c r="H8" s="8" t="n"/>
      <c r="I8" s="8" t="n"/>
    </row>
    <row r="9" ht="24" customHeight="1">
      <c r="A9" s="5" t="n">
        <v>8</v>
      </c>
      <c r="B9" s="5" t="inlineStr">
        <is>
          <t>러시아 규정</t>
        </is>
      </c>
      <c r="C9" s="5" t="inlineStr">
        <is>
          <t>러시아 노동법 준수 (/compliance/ru)</t>
        </is>
      </c>
      <c r="D9" s="5" t="inlineStr">
        <is>
          <t>HR_ADMIN</t>
        </is>
      </c>
      <c r="E9" s="8" t="n"/>
      <c r="F9" s="8" t="n"/>
      <c r="G9" s="8" t="n"/>
      <c r="H9" s="8" t="n"/>
      <c r="I9" s="8" t="n"/>
    </row>
    <row r="10" ht="24" customHeight="1">
      <c r="A10" s="5" t="n">
        <v>9</v>
      </c>
      <c r="B10" s="5" t="inlineStr">
        <is>
          <t>RLS</t>
        </is>
      </c>
      <c r="C10" s="5" t="inlineStr">
        <is>
          <t>Row-Level Security (RLS P1) — 회사 격리</t>
        </is>
      </c>
      <c r="D10" s="5" t="inlineStr">
        <is>
          <t>HR_ADMIN (cross-company)</t>
        </is>
      </c>
      <c r="E10" s="8" t="n"/>
      <c r="F10" s="8" t="n"/>
      <c r="G10" s="8" t="n"/>
      <c r="H10" s="8" t="n"/>
      <c r="I10" s="8" t="n"/>
    </row>
    <row r="11" ht="24" customHeight="1">
      <c r="A11" s="5" t="n">
        <v>10</v>
      </c>
      <c r="B11" s="5" t="inlineStr">
        <is>
          <t>PII 로깅</t>
        </is>
      </c>
      <c r="C11" s="5" t="inlineStr">
        <is>
          <t>PII access 자동 로깅</t>
        </is>
      </c>
      <c r="D11" s="5" t="inlineStr">
        <is>
          <t>HR_ADMIN</t>
        </is>
      </c>
      <c r="E11" s="8" t="n"/>
      <c r="F11" s="8" t="n"/>
      <c r="G11" s="8" t="n"/>
      <c r="H11" s="8" t="n"/>
      <c r="I11" s="8" t="n"/>
    </row>
  </sheetData>
  <dataValidations count="2">
    <dataValidation sqref="E2:E11" showDropDown="0" showInputMessage="0" showErrorMessage="0" allowBlank="1" type="list">
      <formula1>"Y,N,NA"</formula1>
    </dataValidation>
    <dataValidation sqref="F2:F11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 ht="30" customHeight="1">
      <c r="A1" s="4" t="inlineStr">
        <is>
          <t>#</t>
        </is>
      </c>
      <c r="B1" s="4" t="inlineStr">
        <is>
          <t>기능</t>
        </is>
      </c>
      <c r="C1" s="4" t="inlineStr">
        <is>
          <t>세부기능</t>
        </is>
      </c>
      <c r="D1" s="4" t="inlineStr">
        <is>
          <t>테스트 계정</t>
        </is>
      </c>
      <c r="E1" s="4" t="inlineStr">
        <is>
          <t>확인 (Y/N/NA)</t>
        </is>
      </c>
      <c r="F1" s="4" t="inlineStr">
        <is>
          <t>심각도</t>
        </is>
      </c>
      <c r="G1" s="4" t="inlineStr">
        <is>
          <t>테스터</t>
        </is>
      </c>
      <c r="H1" s="4" t="inlineStr">
        <is>
          <t>날짜</t>
        </is>
      </c>
      <c r="I1" s="4" t="inlineStr">
        <is>
          <t>비고</t>
        </is>
      </c>
    </row>
    <row r="2" ht="24" customHeight="1">
      <c r="A2" s="5" t="n">
        <v>1</v>
      </c>
      <c r="B2" s="5" t="inlineStr">
        <is>
          <t>My Space</t>
        </is>
      </c>
      <c r="C2" s="5" t="inlineStr">
        <is>
          <t>내 할일 (/my/tasks)</t>
        </is>
      </c>
      <c r="D2" s="5" t="inlineStr">
        <is>
          <t>EMPLOYEE</t>
        </is>
      </c>
      <c r="E2" s="8" t="n"/>
      <c r="F2" s="8" t="n"/>
      <c r="G2" s="8" t="n"/>
      <c r="H2" s="8" t="n"/>
      <c r="I2" s="8" t="n"/>
    </row>
    <row r="3" ht="24" customHeight="1">
      <c r="A3" s="5" t="n">
        <v>2</v>
      </c>
      <c r="B3" s="5" t="inlineStr">
        <is>
          <t>My Space</t>
        </is>
      </c>
      <c r="C3" s="5" t="inlineStr">
        <is>
          <t>내 출퇴근 (/attendance — EMPLOYEE 뷰)</t>
        </is>
      </c>
      <c r="D3" s="5" t="inlineStr">
        <is>
          <t>EMPLOYEE</t>
        </is>
      </c>
      <c r="E3" s="8" t="n"/>
      <c r="F3" s="8" t="n"/>
      <c r="G3" s="8" t="n"/>
      <c r="H3" s="8" t="n"/>
      <c r="I3" s="8" t="n"/>
    </row>
    <row r="4" ht="24" customHeight="1">
      <c r="A4" s="5" t="n">
        <v>3</v>
      </c>
      <c r="B4" s="5" t="inlineStr">
        <is>
          <t>My Space</t>
        </is>
      </c>
      <c r="C4" s="5" t="inlineStr">
        <is>
          <t>내 휴가 (/my/leave)</t>
        </is>
      </c>
      <c r="D4" s="5" t="inlineStr">
        <is>
          <t>EMPLOYEE</t>
        </is>
      </c>
      <c r="E4" s="8" t="n"/>
      <c r="F4" s="8" t="n"/>
      <c r="G4" s="8" t="n"/>
      <c r="H4" s="8" t="n"/>
      <c r="I4" s="8" t="n"/>
    </row>
    <row r="5" ht="24" customHeight="1">
      <c r="A5" s="5" t="n">
        <v>4</v>
      </c>
      <c r="B5" s="5" t="inlineStr">
        <is>
          <t>My Space</t>
        </is>
      </c>
      <c r="C5" s="5" t="inlineStr">
        <is>
          <t>내 휴직 (/leave-of-absence — EMPLOYEE 뷰)</t>
        </is>
      </c>
      <c r="D5" s="5" t="inlineStr">
        <is>
          <t>EMPLOYEE</t>
        </is>
      </c>
      <c r="E5" s="8" t="n"/>
      <c r="F5" s="8" t="n"/>
      <c r="G5" s="8" t="n"/>
      <c r="H5" s="8" t="n"/>
      <c r="I5" s="8" t="n"/>
    </row>
    <row r="6" ht="24" customHeight="1">
      <c r="A6" s="5" t="n">
        <v>5</v>
      </c>
      <c r="B6" s="5" t="inlineStr">
        <is>
          <t>My Space</t>
        </is>
      </c>
      <c r="C6" s="5" t="inlineStr">
        <is>
          <t>내 급여명세서 (/payroll/me)</t>
        </is>
      </c>
      <c r="D6" s="5" t="inlineStr">
        <is>
          <t>EMPLOYEE</t>
        </is>
      </c>
      <c r="E6" s="8" t="n"/>
      <c r="F6" s="8" t="n"/>
      <c r="G6" s="8" t="n"/>
      <c r="H6" s="8" t="n"/>
      <c r="I6" s="8" t="n"/>
    </row>
    <row r="7" ht="24" customHeight="1">
      <c r="A7" s="5" t="n">
        <v>6</v>
      </c>
      <c r="B7" s="5" t="inlineStr">
        <is>
          <t>My Space</t>
        </is>
      </c>
      <c r="C7" s="5" t="inlineStr">
        <is>
          <t>내 급여명세서 상세 (/payroll/me/[runId])</t>
        </is>
      </c>
      <c r="D7" s="5" t="inlineStr">
        <is>
          <t>EMPLOYEE</t>
        </is>
      </c>
      <c r="E7" s="8" t="n"/>
      <c r="F7" s="8" t="n"/>
      <c r="G7" s="8" t="n"/>
      <c r="H7" s="8" t="n"/>
      <c r="I7" s="8" t="n"/>
    </row>
    <row r="8" ht="24" customHeight="1">
      <c r="A8" s="5" t="n">
        <v>7</v>
      </c>
      <c r="B8" s="5" t="inlineStr">
        <is>
          <t>My Space</t>
        </is>
      </c>
      <c r="C8" s="5" t="inlineStr">
        <is>
          <t>내 복리후생 (/my/benefits)</t>
        </is>
      </c>
      <c r="D8" s="5" t="inlineStr">
        <is>
          <t>EMPLOYEE</t>
        </is>
      </c>
      <c r="E8" s="8" t="n"/>
      <c r="F8" s="8" t="n"/>
      <c r="G8" s="8" t="n"/>
      <c r="H8" s="8" t="n"/>
      <c r="I8" s="8" t="n"/>
    </row>
    <row r="9" ht="24" customHeight="1">
      <c r="A9" s="5" t="n">
        <v>8</v>
      </c>
      <c r="B9" s="5" t="inlineStr">
        <is>
          <t>My Space</t>
        </is>
      </c>
      <c r="C9" s="5" t="inlineStr">
        <is>
          <t>내 연말정산 (/my/year-end)</t>
        </is>
      </c>
      <c r="D9" s="5" t="inlineStr">
        <is>
          <t>EMPLOYEE</t>
        </is>
      </c>
      <c r="E9" s="8" t="n"/>
      <c r="F9" s="8" t="n"/>
      <c r="G9" s="8" t="n"/>
      <c r="H9" s="8" t="n"/>
      <c r="I9" s="8" t="n"/>
    </row>
    <row r="10" ht="24" customHeight="1">
      <c r="A10" s="5" t="n">
        <v>9</v>
      </c>
      <c r="B10" s="5" t="inlineStr">
        <is>
          <t>My Space</t>
        </is>
      </c>
      <c r="C10" s="5" t="inlineStr">
        <is>
          <t>내 목표 (/performance/my-goals)</t>
        </is>
      </c>
      <c r="D10" s="5" t="inlineStr">
        <is>
          <t>EMPLOYEE</t>
        </is>
      </c>
      <c r="E10" s="8" t="n"/>
      <c r="F10" s="8" t="n"/>
      <c r="G10" s="8" t="n"/>
      <c r="H10" s="8" t="n"/>
      <c r="I10" s="8" t="n"/>
    </row>
    <row r="11" ht="24" customHeight="1">
      <c r="A11" s="5" t="n">
        <v>10</v>
      </c>
      <c r="B11" s="5" t="inlineStr">
        <is>
          <t>My Space</t>
        </is>
      </c>
      <c r="C11" s="5" t="inlineStr">
        <is>
          <t>내 분기리뷰 (/performance/my-quarterly-review)</t>
        </is>
      </c>
      <c r="D11" s="5" t="inlineStr">
        <is>
          <t>EMPLOYEE</t>
        </is>
      </c>
      <c r="E11" s="8" t="n"/>
      <c r="F11" s="8" t="n"/>
      <c r="G11" s="8" t="n"/>
      <c r="H11" s="8" t="n"/>
      <c r="I11" s="8" t="n"/>
    </row>
    <row r="12" ht="24" customHeight="1">
      <c r="A12" s="5" t="n">
        <v>11</v>
      </c>
      <c r="B12" s="5" t="inlineStr">
        <is>
          <t>My Space</t>
        </is>
      </c>
      <c r="C12" s="5" t="inlineStr">
        <is>
          <t>내 스킬 (/my/skills)</t>
        </is>
      </c>
      <c r="D12" s="5" t="inlineStr">
        <is>
          <t>EMPLOYEE</t>
        </is>
      </c>
      <c r="E12" s="8" t="n"/>
      <c r="F12" s="8" t="n"/>
      <c r="G12" s="8" t="n"/>
      <c r="H12" s="8" t="n"/>
      <c r="I12" s="8" t="n"/>
    </row>
    <row r="13" ht="24" customHeight="1">
      <c r="A13" s="5" t="n">
        <v>12</v>
      </c>
      <c r="B13" s="5" t="inlineStr">
        <is>
          <t>My Space</t>
        </is>
      </c>
      <c r="C13" s="5" t="inlineStr">
        <is>
          <t>내 교육 (/my/training)</t>
        </is>
      </c>
      <c r="D13" s="5" t="inlineStr">
        <is>
          <t>EMPLOYEE</t>
        </is>
      </c>
      <c r="E13" s="8" t="n"/>
      <c r="F13" s="8" t="n"/>
      <c r="G13" s="8" t="n"/>
      <c r="H13" s="8" t="n"/>
      <c r="I13" s="8" t="n"/>
    </row>
    <row r="14" ht="24" customHeight="1">
      <c r="A14" s="5" t="n">
        <v>13</v>
      </c>
      <c r="B14" s="5" t="inlineStr">
        <is>
          <t>My Space</t>
        </is>
      </c>
      <c r="C14" s="5" t="inlineStr">
        <is>
          <t>내 인정/칭찬 (/performance/recognition)</t>
        </is>
      </c>
      <c r="D14" s="5" t="inlineStr">
        <is>
          <t>EMPLOYEE</t>
        </is>
      </c>
      <c r="E14" s="8" t="n"/>
      <c r="F14" s="8" t="n"/>
      <c r="G14" s="8" t="n"/>
      <c r="H14" s="8" t="n"/>
      <c r="I14" s="8" t="n"/>
    </row>
    <row r="15" ht="24" customHeight="1">
      <c r="A15" s="5" t="n">
        <v>14</v>
      </c>
      <c r="B15" s="5" t="inlineStr">
        <is>
          <t>My Space</t>
        </is>
      </c>
      <c r="C15" s="5" t="inlineStr">
        <is>
          <t>내 문서 (/my/documents)</t>
        </is>
      </c>
      <c r="D15" s="5" t="inlineStr">
        <is>
          <t>EMPLOYEE</t>
        </is>
      </c>
      <c r="E15" s="8" t="n"/>
      <c r="F15" s="8" t="n"/>
      <c r="G15" s="8" t="n"/>
      <c r="H15" s="8" t="n"/>
      <c r="I15" s="8" t="n"/>
    </row>
    <row r="16" ht="24" customHeight="1">
      <c r="A16" s="5" t="n">
        <v>15</v>
      </c>
      <c r="B16" s="5" t="inlineStr">
        <is>
          <t>My Space</t>
        </is>
      </c>
      <c r="C16" s="5" t="inlineStr">
        <is>
          <t>내 프로필 (/my/profile)</t>
        </is>
      </c>
      <c r="D16" s="5" t="inlineStr">
        <is>
          <t>EMPLOYEE</t>
        </is>
      </c>
      <c r="E16" s="8" t="n"/>
      <c r="F16" s="8" t="n"/>
      <c r="G16" s="8" t="n"/>
      <c r="H16" s="8" t="n"/>
      <c r="I16" s="8" t="n"/>
    </row>
    <row r="17" ht="24" customHeight="1">
      <c r="A17" s="5" t="n">
        <v>16</v>
      </c>
      <c r="B17" s="5" t="inlineStr">
        <is>
          <t>My Space</t>
        </is>
      </c>
      <c r="C17" s="5" t="inlineStr">
        <is>
          <t>내 알림설정 (/my/settings/notifications)</t>
        </is>
      </c>
      <c r="D17" s="5" t="inlineStr">
        <is>
          <t>EMPLOYEE</t>
        </is>
      </c>
      <c r="E17" s="8" t="n"/>
      <c r="F17" s="8" t="n"/>
      <c r="G17" s="8" t="n"/>
      <c r="H17" s="8" t="n"/>
      <c r="I17" s="8" t="n"/>
    </row>
    <row r="18" ht="24" customHeight="1">
      <c r="A18" s="5" t="n">
        <v>17</v>
      </c>
      <c r="B18" s="5" t="inlineStr">
        <is>
          <t>My Space</t>
        </is>
      </c>
      <c r="C18" s="5" t="inlineStr">
        <is>
          <t>내 총보상 (/my/total-rewards) — Total Rewards Statement</t>
        </is>
      </c>
      <c r="D18" s="5" t="inlineStr">
        <is>
          <t>EMPLOYEE</t>
        </is>
      </c>
      <c r="E18" s="8" t="n"/>
      <c r="F18" s="8" t="n"/>
      <c r="G18" s="8" t="n"/>
      <c r="H18" s="8" t="n"/>
      <c r="I18" s="8" t="n"/>
    </row>
    <row r="19" ht="24" customHeight="1">
      <c r="A19" s="5" t="n">
        <v>18</v>
      </c>
      <c r="B19" s="5" t="inlineStr">
        <is>
          <t>My Space</t>
        </is>
      </c>
      <c r="C19" s="5" t="inlineStr">
        <is>
          <t>내 온보딩 (/onboarding/me)</t>
        </is>
      </c>
      <c r="D19" s="5" t="inlineStr">
        <is>
          <t>EMPLOYEE (신입)</t>
        </is>
      </c>
      <c r="E19" s="8" t="n"/>
      <c r="F19" s="8" t="n"/>
      <c r="G19" s="8" t="n"/>
      <c r="H19" s="8" t="n"/>
      <c r="I19" s="8" t="n"/>
    </row>
    <row r="20" ht="24" customHeight="1">
      <c r="A20" s="5" t="n">
        <v>19</v>
      </c>
      <c r="B20" s="5" t="inlineStr">
        <is>
          <t>My Space</t>
        </is>
      </c>
      <c r="C20" s="5" t="inlineStr">
        <is>
          <t>내 오프보딩 (/my/offboarding)</t>
        </is>
      </c>
      <c r="D20" s="5" t="inlineStr">
        <is>
          <t>EMPLOYEE (퇴사 예정)</t>
        </is>
      </c>
      <c r="E20" s="8" t="n"/>
      <c r="F20" s="8" t="n"/>
      <c r="G20" s="8" t="n"/>
      <c r="H20" s="8" t="n"/>
      <c r="I20" s="8" t="n"/>
    </row>
    <row r="21" ht="24" customHeight="1">
      <c r="A21" s="5" t="n">
        <v>20</v>
      </c>
      <c r="B21" s="5" t="inlineStr">
        <is>
          <t>My Space</t>
        </is>
      </c>
      <c r="C21" s="5" t="inlineStr">
        <is>
          <t>내 내부공모 (/my/internal-jobs)</t>
        </is>
      </c>
      <c r="D21" s="5" t="inlineStr">
        <is>
          <t>EMPLOYEE</t>
        </is>
      </c>
      <c r="E21" s="8" t="n"/>
      <c r="F21" s="8" t="n"/>
      <c r="G21" s="8" t="n"/>
      <c r="H21" s="8" t="n"/>
      <c r="I21" s="8" t="n"/>
    </row>
  </sheetData>
  <dataValidations count="2">
    <dataValidation sqref="E2:E21" showDropDown="0" showInputMessage="0" showErrorMessage="0" allowBlank="1" type="list">
      <formula1>"Y,N,NA"</formula1>
    </dataValidation>
    <dataValidation sqref="F2:F21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7" t="n">
        <v>1</v>
      </c>
      <c r="B2" s="7" t="inlineStr">
        <is>
          <t>SUPER_ADMIN 홈</t>
        </is>
      </c>
      <c r="C2" s="7" t="inlineStr">
        <is>
          <t>SUPER_ADMIN (super@ctr.co.kr)</t>
        </is>
      </c>
      <c r="D2" s="7" t="inlineStr">
        <is>
          <t>로그인 완료</t>
        </is>
      </c>
      <c r="E2" s="7" t="inlineStr"/>
      <c r="F2" s="7" t="inlineStr">
        <is>
          <t>로그인 후 자동으로 /home으로 리다이렉트됨</t>
        </is>
      </c>
      <c r="G2" s="7" t="inlineStr">
        <is>
          <t>SUPER_ADMIN 전용 홈 (13개 법인 cross-company 위젯 + 전사 KPI) 표시</t>
        </is>
      </c>
      <c r="H2" s="6" t="n"/>
      <c r="I2" s="6" t="n"/>
      <c r="J2" s="6" t="n"/>
      <c r="K2" s="6" t="n"/>
    </row>
    <row r="3" ht="60" customHeight="1">
      <c r="A3" s="7" t="n">
        <v>2</v>
      </c>
      <c r="B3" s="7" t="inlineStr">
        <is>
          <t>HR_ADMIN 홈 (HrAdminHomeV2)</t>
        </is>
      </c>
      <c r="C3" s="7" t="inlineStr">
        <is>
          <t>HR_ADMIN (hr@ctr.co.kr)</t>
        </is>
      </c>
      <c r="D3" s="7" t="inlineStr">
        <is>
          <t>로그인 완료</t>
        </is>
      </c>
      <c r="E3" s="7" t="inlineStr"/>
      <c r="F3" s="7" t="inlineStr">
        <is>
          <t>/home 진입</t>
        </is>
      </c>
      <c r="G3" s="7" t="inlineStr">
        <is>
          <t>HrAdminHomeV2 카드 — 결재 inbox 요약, 온보딩/오프보딩 tracker, 휴가 통계, recognition feed</t>
        </is>
      </c>
      <c r="H3" s="6" t="n"/>
      <c r="I3" s="6" t="n"/>
      <c r="J3" s="6" t="n"/>
      <c r="K3" s="6" t="n"/>
    </row>
    <row r="4" ht="60" customHeight="1">
      <c r="A4" s="7" t="n">
        <v>3</v>
      </c>
      <c r="B4" s="7" t="inlineStr">
        <is>
          <t>MANAGER 홈 (ManagerHomeV2)</t>
        </is>
      </c>
      <c r="C4" s="7" t="inlineStr">
        <is>
          <t>MANAGER (manager@ctr.co.kr)</t>
        </is>
      </c>
      <c r="D4" s="7" t="inlineStr">
        <is>
          <t>로그인 완료</t>
        </is>
      </c>
      <c r="E4" s="7" t="inlineStr"/>
      <c r="F4" s="7" t="inlineStr">
        <is>
          <t>/home 진입</t>
        </is>
      </c>
      <c r="G4" s="7" t="inlineStr">
        <is>
          <t>ManagerHomeV2 — 팀원 현황, 결재 대기, 1:1 일정, 팀 성과 요약</t>
        </is>
      </c>
      <c r="H4" s="6" t="n"/>
      <c r="I4" s="6" t="n"/>
      <c r="J4" s="6" t="n"/>
      <c r="K4" s="6" t="n"/>
    </row>
    <row r="5" ht="60" customHeight="1">
      <c r="A5" s="7" t="n">
        <v>4</v>
      </c>
      <c r="B5" s="7" t="inlineStr">
        <is>
          <t>EXECUTIVE 홈 (ExecutiveHomeV2)</t>
        </is>
      </c>
      <c r="C5" s="7" t="inlineStr">
        <is>
          <t>EXECUTIVE / SUPER_ADMIN</t>
        </is>
      </c>
      <c r="D5" s="7" t="inlineStr">
        <is>
          <t>로그인 완료</t>
        </is>
      </c>
      <c r="E5" s="7" t="inlineStr"/>
      <c r="F5" s="7" t="inlineStr">
        <is>
          <t>/home 진입</t>
        </is>
      </c>
      <c r="G5" s="7" t="inlineStr">
        <is>
          <t>경영진 요약 (HR KPI + 채용 퍼널 + 인력 트렌드)</t>
        </is>
      </c>
      <c r="H5" s="6" t="n"/>
      <c r="I5" s="6" t="n"/>
      <c r="J5" s="6" t="n"/>
      <c r="K5" s="6" t="n"/>
    </row>
    <row r="6" ht="60" customHeight="1">
      <c r="A6" s="7" t="n">
        <v>5</v>
      </c>
      <c r="B6" s="7" t="inlineStr">
        <is>
          <t>EMPLOYEE 홈 (EmployeeHomeV2)</t>
        </is>
      </c>
      <c r="C6" s="7" t="inlineStr">
        <is>
          <t>EMPLOYEE (employee-a@ctr.co.kr)</t>
        </is>
      </c>
      <c r="D6" s="7" t="inlineStr">
        <is>
          <t>로그인 완료</t>
        </is>
      </c>
      <c r="E6" s="7" t="inlineStr"/>
      <c r="F6" s="7" t="inlineStr">
        <is>
          <t>/home 진입</t>
        </is>
      </c>
      <c r="G6" s="7" t="inlineStr">
        <is>
          <t>EmployeeHomeV2 — 내 할일, 휴가 잔액, 목표 진행률, 인정 피드, 출퇴근 위젯</t>
        </is>
      </c>
      <c r="H6" s="6" t="n"/>
      <c r="I6" s="6" t="n"/>
      <c r="J6" s="6" t="n"/>
      <c r="K6" s="6" t="n"/>
    </row>
    <row r="7" ht="60" customHeight="1">
      <c r="A7" s="7" t="n">
        <v>6</v>
      </c>
      <c r="B7" s="7" t="inlineStr">
        <is>
          <t>시간대별 인사말 (hydration-safe)</t>
        </is>
      </c>
      <c r="C7" s="7" t="inlineStr">
        <is>
          <t>EMPLOYEE</t>
        </is>
      </c>
      <c r="D7" s="7" t="inlineStr">
        <is>
          <t>로그인 완료</t>
        </is>
      </c>
      <c r="E7" s="7" t="inlineStr"/>
      <c r="F7" s="7" t="inlineStr">
        <is>
          <t>홈에 진입 시 시간대 인사말 확인 (아침/낮/저녁)</t>
        </is>
      </c>
      <c r="G7" s="7" t="inlineStr">
        <is>
          <t>현지 시간대 기반 인사말이 hydration 오류 없이 표시됨 (Session 181 fix)</t>
        </is>
      </c>
      <c r="H7" s="6" t="n"/>
      <c r="I7" s="6" t="n"/>
      <c r="J7" s="6" t="n"/>
      <c r="K7" s="6" t="n"/>
    </row>
    <row r="8" ht="60" customHeight="1">
      <c r="A8" s="7" t="n">
        <v>7</v>
      </c>
      <c r="B8" s="7" t="inlineStr">
        <is>
          <t>온보딩/오프보딩 tracker row 클릭</t>
        </is>
      </c>
      <c r="C8" s="7" t="inlineStr">
        <is>
          <t>HR_ADMIN</t>
        </is>
      </c>
      <c r="D8" s="7" t="inlineStr">
        <is>
          <t>tracker row 표시</t>
        </is>
      </c>
      <c r="E8" s="7" t="inlineStr"/>
      <c r="F8" s="7" t="inlineStr">
        <is>
          <t>홈의 tracker row 클릭</t>
        </is>
      </c>
      <c r="G8" s="7" t="inlineStr">
        <is>
          <t>해당 onboarding/offboarding 상세 페이지로 정확히 이동 (Session 182 fix)</t>
        </is>
      </c>
      <c r="H8" s="6" t="n"/>
      <c r="I8" s="6" t="n"/>
      <c r="J8" s="6" t="n"/>
      <c r="K8" s="6" t="n"/>
    </row>
    <row r="9" ht="60" customHeight="1">
      <c r="A9" s="7" t="n">
        <v>8</v>
      </c>
      <c r="B9" s="7" t="inlineStr">
        <is>
          <t>알림 위젯</t>
        </is>
      </c>
      <c r="C9" s="7" t="inlineStr">
        <is>
          <t>all roles</t>
        </is>
      </c>
      <c r="D9" s="7" t="inlineStr">
        <is>
          <t>신규 알림 존재</t>
        </is>
      </c>
      <c r="E9" s="7" t="inlineStr"/>
      <c r="F9" s="7" t="inlineStr">
        <is>
          <t>홈의 알림 위젯 또는 /notifications 클릭</t>
        </is>
      </c>
      <c r="G9" s="7" t="inlineStr">
        <is>
          <t>신규 알림 N건 카운트 + 알림 목록 표시</t>
        </is>
      </c>
      <c r="H9" s="6" t="n"/>
      <c r="I9" s="6" t="n"/>
      <c r="J9" s="6" t="n"/>
      <c r="K9" s="6" t="n"/>
    </row>
    <row r="10" ht="60" customHeight="1">
      <c r="A10" s="7" t="n">
        <v>9</v>
      </c>
      <c r="B10" s="7" t="inlineStr">
        <is>
          <t>SW 자동 갱신 toast</t>
        </is>
      </c>
      <c r="C10" s="7" t="inlineStr">
        <is>
          <t>all roles</t>
        </is>
      </c>
      <c r="D10" s="7" t="inlineStr">
        <is>
          <t>신규 배포 직후</t>
        </is>
      </c>
      <c r="E10" s="7" t="inlineStr"/>
      <c r="F10" s="7" t="inlineStr">
        <is>
          <t>신규 배포 후 페이지 진입</t>
        </is>
      </c>
      <c r="G10" s="7" t="inlineStr">
        <is>
          <t>"새 버전이 있습니다 / 새로고침" toast 표시 + 1-click 새로고침 정상 동작 (Session 199 prod 검증)</t>
        </is>
      </c>
      <c r="H10" s="6" t="n"/>
      <c r="I10" s="6" t="n"/>
      <c r="J10" s="6" t="n"/>
      <c r="K10" s="6" t="n"/>
    </row>
  </sheetData>
  <conditionalFormatting sqref="I2:I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1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 ht="30" customHeight="1">
      <c r="A1" s="4" t="inlineStr">
        <is>
          <t>#</t>
        </is>
      </c>
      <c r="B1" s="4" t="inlineStr">
        <is>
          <t>기능</t>
        </is>
      </c>
      <c r="C1" s="4" t="inlineStr">
        <is>
          <t>세부기능</t>
        </is>
      </c>
      <c r="D1" s="4" t="inlineStr">
        <is>
          <t>테스트 계정</t>
        </is>
      </c>
      <c r="E1" s="4" t="inlineStr">
        <is>
          <t>확인 (Y/N/NA)</t>
        </is>
      </c>
      <c r="F1" s="4" t="inlineStr">
        <is>
          <t>심각도</t>
        </is>
      </c>
      <c r="G1" s="4" t="inlineStr">
        <is>
          <t>테스터</t>
        </is>
      </c>
      <c r="H1" s="4" t="inlineStr">
        <is>
          <t>날짜</t>
        </is>
      </c>
      <c r="I1" s="4" t="inlineStr">
        <is>
          <t>비고</t>
        </is>
      </c>
    </row>
    <row r="2" ht="24" customHeight="1">
      <c r="A2" s="5" t="n">
        <v>1</v>
      </c>
      <c r="B2" s="5" t="inlineStr">
        <is>
          <t>알림 센터</t>
        </is>
      </c>
      <c r="C2" s="5" t="inlineStr">
        <is>
          <t>알림 목록 (/notifications)</t>
        </is>
      </c>
      <c r="D2" s="5" t="inlineStr">
        <is>
          <t>all roles</t>
        </is>
      </c>
      <c r="E2" s="8" t="n"/>
      <c r="F2" s="8" t="n"/>
      <c r="G2" s="8" t="n"/>
      <c r="H2" s="8" t="n"/>
      <c r="I2" s="8" t="n"/>
    </row>
    <row r="3" ht="24" customHeight="1">
      <c r="A3" s="5" t="n">
        <v>2</v>
      </c>
      <c r="B3" s="5" t="inlineStr">
        <is>
          <t>알림 센터</t>
        </is>
      </c>
      <c r="C3" s="5" t="inlineStr">
        <is>
          <t>읽음/안읽음 토글</t>
        </is>
      </c>
      <c r="D3" s="5" t="inlineStr">
        <is>
          <t>all roles</t>
        </is>
      </c>
      <c r="E3" s="8" t="n"/>
      <c r="F3" s="8" t="n"/>
      <c r="G3" s="8" t="n"/>
      <c r="H3" s="8" t="n"/>
      <c r="I3" s="8" t="n"/>
    </row>
    <row r="4" ht="24" customHeight="1">
      <c r="A4" s="5" t="n">
        <v>3</v>
      </c>
      <c r="B4" s="5" t="inlineStr">
        <is>
          <t>알림 센터</t>
        </is>
      </c>
      <c r="C4" s="5" t="inlineStr">
        <is>
          <t>카테고리 필터 (휴가/결재/평가 등)</t>
        </is>
      </c>
      <c r="D4" s="5" t="inlineStr">
        <is>
          <t>all roles</t>
        </is>
      </c>
      <c r="E4" s="8" t="n"/>
      <c r="F4" s="8" t="n"/>
      <c r="G4" s="8" t="n"/>
      <c r="H4" s="8" t="n"/>
      <c r="I4" s="8" t="n"/>
    </row>
    <row r="5" ht="24" customHeight="1">
      <c r="A5" s="5" t="n">
        <v>4</v>
      </c>
      <c r="B5" s="5" t="inlineStr">
        <is>
          <t>알림 발송</t>
        </is>
      </c>
      <c r="C5" s="5" t="inlineStr">
        <is>
          <t>결재 대기 알림 (Teams + 이메일 + 푸시)</t>
        </is>
      </c>
      <c r="D5" s="5" t="inlineStr">
        <is>
          <t>MANAGER</t>
        </is>
      </c>
      <c r="E5" s="8" t="n"/>
      <c r="F5" s="8" t="n"/>
      <c r="G5" s="8" t="n"/>
      <c r="H5" s="8" t="n"/>
      <c r="I5" s="8" t="n"/>
    </row>
    <row r="6" ht="24" customHeight="1">
      <c r="A6" s="5" t="n">
        <v>5</v>
      </c>
      <c r="B6" s="5" t="inlineStr">
        <is>
          <t>알림 발송</t>
        </is>
      </c>
      <c r="C6" s="5" t="inlineStr">
        <is>
          <t>휴가 시작 D-7/D-3/D-1 알림</t>
        </is>
      </c>
      <c r="D6" s="5" t="inlineStr">
        <is>
          <t>EMPLOYEE</t>
        </is>
      </c>
      <c r="E6" s="8" t="n"/>
      <c r="F6" s="8" t="n"/>
      <c r="G6" s="8" t="n"/>
      <c r="H6" s="8" t="n"/>
      <c r="I6" s="8" t="n"/>
    </row>
    <row r="7" ht="24" customHeight="1">
      <c r="A7" s="5" t="n">
        <v>6</v>
      </c>
      <c r="B7" s="5" t="inlineStr">
        <is>
          <t>알림 발송</t>
        </is>
      </c>
      <c r="C7" s="5" t="inlineStr">
        <is>
          <t>복귀 알림 (LOA D-7/D-3/D-1)</t>
        </is>
      </c>
      <c r="D7" s="5" t="inlineStr">
        <is>
          <t>EMPLOYEE / HR_ADMIN</t>
        </is>
      </c>
      <c r="E7" s="8" t="n"/>
      <c r="F7" s="8" t="n"/>
      <c r="G7" s="8" t="n"/>
      <c r="H7" s="8" t="n"/>
      <c r="I7" s="8" t="n"/>
    </row>
    <row r="8" ht="24" customHeight="1">
      <c r="A8" s="5" t="n">
        <v>7</v>
      </c>
      <c r="B8" s="5" t="inlineStr">
        <is>
          <t>알림 발송</t>
        </is>
      </c>
      <c r="C8" s="5" t="inlineStr">
        <is>
          <t>평가 마감 알림 (eval-reminder cron)</t>
        </is>
      </c>
      <c r="D8" s="5" t="inlineStr">
        <is>
          <t>EMPLOYEE / MANAGER</t>
        </is>
      </c>
      <c r="E8" s="8" t="n"/>
      <c r="F8" s="8" t="n"/>
      <c r="G8" s="8" t="n"/>
      <c r="H8" s="8" t="n"/>
      <c r="I8" s="8" t="n"/>
    </row>
    <row r="9" ht="24" customHeight="1">
      <c r="A9" s="5" t="n">
        <v>8</v>
      </c>
      <c r="B9" s="5" t="inlineStr">
        <is>
          <t>알림 발송</t>
        </is>
      </c>
      <c r="C9" s="5" t="inlineStr">
        <is>
          <t>nudge cron (매니저급)</t>
        </is>
      </c>
      <c r="D9" s="5" t="inlineStr">
        <is>
          <t>MANAGER+</t>
        </is>
      </c>
      <c r="E9" s="8" t="n"/>
      <c r="F9" s="8" t="n"/>
      <c r="G9" s="8" t="n"/>
      <c r="H9" s="8" t="n"/>
      <c r="I9" s="8" t="n"/>
    </row>
    <row r="10" ht="24" customHeight="1">
      <c r="A10" s="5" t="n">
        <v>9</v>
      </c>
      <c r="B10" s="5" t="inlineStr">
        <is>
          <t>알림 발송</t>
        </is>
      </c>
      <c r="C10" s="5" t="inlineStr">
        <is>
          <t>HR 챗봇 에스컬레이션</t>
        </is>
      </c>
      <c r="D10" s="5" t="inlineStr">
        <is>
          <t>HR_ADMIN</t>
        </is>
      </c>
      <c r="E10" s="8" t="n"/>
      <c r="F10" s="8" t="n"/>
      <c r="G10" s="8" t="n"/>
      <c r="H10" s="8" t="n"/>
      <c r="I10" s="8" t="n"/>
    </row>
    <row r="11" ht="24" customHeight="1">
      <c r="A11" s="5" t="n">
        <v>10</v>
      </c>
      <c r="B11" s="5" t="inlineStr">
        <is>
          <t>알림 i18n</t>
        </is>
      </c>
      <c r="C11" s="5" t="inlineStr">
        <is>
          <t>5 locale (ko/en/zh/vi/es) 알림 본문</t>
        </is>
      </c>
      <c r="D11" s="5" t="inlineStr">
        <is>
          <t>multi-locale</t>
        </is>
      </c>
      <c r="E11" s="8" t="n"/>
      <c r="F11" s="8" t="n"/>
      <c r="G11" s="8" t="n"/>
      <c r="H11" s="8" t="n"/>
      <c r="I11" s="8" t="n"/>
    </row>
    <row r="12" ht="24" customHeight="1">
      <c r="A12" s="5" t="n">
        <v>11</v>
      </c>
      <c r="B12" s="5" t="inlineStr">
        <is>
          <t>알림 설정</t>
        </is>
      </c>
      <c r="C12" s="5" t="inlineStr">
        <is>
          <t>내 알림 설정 (/my/settings/notifications)</t>
        </is>
      </c>
      <c r="D12" s="5" t="inlineStr">
        <is>
          <t>EMPLOYEE</t>
        </is>
      </c>
      <c r="E12" s="8" t="n"/>
      <c r="F12" s="8" t="n"/>
      <c r="G12" s="8" t="n"/>
      <c r="H12" s="8" t="n"/>
      <c r="I12" s="8" t="n"/>
    </row>
  </sheetData>
  <dataValidations count="2">
    <dataValidation sqref="E2:E12" showDropDown="0" showInputMessage="0" showErrorMessage="0" allowBlank="1" type="list">
      <formula1>"Y,N,NA"</formula1>
    </dataValidation>
    <dataValidation sqref="F2:F12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D7D31"/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5" customWidth="1" min="4" max="4"/>
    <col width="30" customWidth="1" min="5" max="5"/>
    <col width="40" customWidth="1" min="6" max="6"/>
    <col width="40" customWidth="1" min="7" max="7"/>
    <col width="25" customWidth="1" min="8" max="8"/>
    <col width="14" customWidth="1" min="9" max="9"/>
    <col width="10" customWidth="1" min="10" max="10"/>
    <col width="18" customWidth="1" min="11" max="11"/>
  </cols>
  <sheetData>
    <row r="1" ht="30" customHeight="1">
      <c r="A1" s="4" t="inlineStr">
        <is>
          <t>Step#</t>
        </is>
      </c>
      <c r="B1" s="4" t="inlineStr">
        <is>
          <t>비즈니스 목적</t>
        </is>
      </c>
      <c r="C1" s="4" t="inlineStr">
        <is>
          <t>테스터 역할</t>
        </is>
      </c>
      <c r="D1" s="4" t="inlineStr">
        <is>
          <t>전제조건</t>
        </is>
      </c>
      <c r="E1" s="4" t="inlineStr">
        <is>
          <t>테스트 데이터</t>
        </is>
      </c>
      <c r="F1" s="4" t="inlineStr">
        <is>
          <t>수행 액션</t>
        </is>
      </c>
      <c r="G1" s="4" t="inlineStr">
        <is>
          <t>기대되는 비즈니스 결과</t>
        </is>
      </c>
      <c r="H1" s="4" t="inlineStr">
        <is>
          <t>실제 결과</t>
        </is>
      </c>
      <c r="I1" s="4" t="inlineStr">
        <is>
          <t>Pass/Fail/Block</t>
        </is>
      </c>
      <c r="J1" s="4" t="inlineStr">
        <is>
          <t>이슈ID</t>
        </is>
      </c>
      <c r="K1" s="4" t="inlineStr">
        <is>
          <t>비고</t>
        </is>
      </c>
    </row>
    <row r="2" ht="60" customHeight="1">
      <c r="A2" s="5" t="n">
        <v>1</v>
      </c>
      <c r="B2" s="5" t="inlineStr">
        <is>
          <t>수습 진행 중</t>
        </is>
      </c>
      <c r="C2" s="5" t="inlineStr">
        <is>
          <t>HR_ADMIN</t>
        </is>
      </c>
      <c r="D2" s="5" t="inlineStr">
        <is>
          <t>EDGE-001 시드</t>
        </is>
      </c>
      <c r="E2" s="5" t="inlineStr">
        <is>
          <t>김수습 (EDGE-001)</t>
        </is>
      </c>
      <c r="F2" s="5" t="inlineStr">
        <is>
          <t>직원 목록 검색 &gt; 상세 페이지</t>
        </is>
      </c>
      <c r="G2" s="5" t="inlineStr">
        <is>
          <t>수습 배지 + 만료일(2026-06-01) 표시</t>
        </is>
      </c>
      <c r="H2" s="6" t="n"/>
      <c r="I2" s="6" t="n"/>
      <c r="J2" s="6" t="n"/>
      <c r="K2" s="6" t="n"/>
    </row>
    <row r="3" ht="60" customHeight="1">
      <c r="A3" s="5" t="n">
        <v>2</v>
      </c>
      <c r="B3" s="5" t="inlineStr">
        <is>
          <t>수습 만료 경고</t>
        </is>
      </c>
      <c r="C3" s="5" t="inlineStr">
        <is>
          <t>HR_ADMIN</t>
        </is>
      </c>
      <c r="D3" s="5" t="inlineStr">
        <is>
          <t>EDGE-002 시드</t>
        </is>
      </c>
      <c r="E3" s="5" t="inlineStr">
        <is>
          <t>박만료 (EDGE-002)</t>
        </is>
      </c>
      <c r="F3" s="5" t="inlineStr">
        <is>
          <t>직원 목록 검색</t>
        </is>
      </c>
      <c r="G3" s="5" t="inlineStr">
        <is>
          <t>수습 기간 만료 경고 (2026-01-01 지남) 표시</t>
        </is>
      </c>
      <c r="H3" s="6" t="n"/>
      <c r="I3" s="6" t="n"/>
      <c r="J3" s="6" t="n"/>
      <c r="K3" s="6" t="n"/>
    </row>
    <row r="4" ht="60" customHeight="1">
      <c r="A4" s="5" t="n">
        <v>3</v>
      </c>
      <c r="B4" s="5" t="inlineStr">
        <is>
          <t>계약 만료 임박</t>
        </is>
      </c>
      <c r="C4" s="5" t="inlineStr">
        <is>
          <t>HR_ADMIN</t>
        </is>
      </c>
      <c r="D4" s="5" t="inlineStr">
        <is>
          <t>EDGE-003 시드</t>
        </is>
      </c>
      <c r="E4" s="5" t="inlineStr">
        <is>
          <t>이계약 (EDGE-003)</t>
        </is>
      </c>
      <c r="F4" s="5" t="inlineStr">
        <is>
          <t>직원 목록 또는 대시보드</t>
        </is>
      </c>
      <c r="G4" s="5" t="inlineStr">
        <is>
          <t>D-30 알림 + 계약 갱신/종료 조치 안내</t>
        </is>
      </c>
      <c r="H4" s="6" t="n"/>
      <c r="I4" s="6" t="n"/>
      <c r="J4" s="6" t="n"/>
      <c r="K4" s="6" t="n"/>
    </row>
    <row r="5" ht="60" customHeight="1">
      <c r="A5" s="5" t="n">
        <v>4</v>
      </c>
      <c r="B5" s="5" t="inlineStr">
        <is>
          <t>계약 만료 직원</t>
        </is>
      </c>
      <c r="C5" s="5" t="inlineStr">
        <is>
          <t>HR_ADMIN</t>
        </is>
      </c>
      <c r="D5" s="5" t="inlineStr">
        <is>
          <t>EDGE-004 시드</t>
        </is>
      </c>
      <c r="E5" s="5" t="inlineStr">
        <is>
          <t>최만기 (EDGE-004)</t>
        </is>
      </c>
      <c r="F5" s="5" t="inlineStr">
        <is>
          <t>직원 목록 검색</t>
        </is>
      </c>
      <c r="G5" s="5" t="inlineStr">
        <is>
          <t>계약 만료 상태 (만료일: 2026-03-31) 표시</t>
        </is>
      </c>
      <c r="H5" s="6" t="n"/>
      <c r="I5" s="6" t="n"/>
      <c r="J5" s="6" t="n"/>
      <c r="K5" s="6" t="n"/>
    </row>
    <row r="6" ht="60" customHeight="1">
      <c r="A6" s="5" t="n">
        <v>5</v>
      </c>
      <c r="B6" s="5" t="inlineStr">
        <is>
          <t>육아휴직 중</t>
        </is>
      </c>
      <c r="C6" s="5" t="inlineStr">
        <is>
          <t>HR_ADMIN</t>
        </is>
      </c>
      <c r="D6" s="5" t="inlineStr">
        <is>
          <t>EDGE-005 시드</t>
        </is>
      </c>
      <c r="E6" s="5" t="inlineStr">
        <is>
          <t>정육아 (EDGE-005)</t>
        </is>
      </c>
      <c r="F6" s="5" t="inlineStr">
        <is>
          <t>직원 목록 + 근태/급여 관리</t>
        </is>
      </c>
      <c r="G6" s="5" t="inlineStr">
        <is>
          <t>출퇴근/급여 대상에서 제외 + 휴직 배지</t>
        </is>
      </c>
      <c r="H6" s="6" t="n"/>
      <c r="I6" s="6" t="n"/>
      <c r="J6" s="6" t="n"/>
      <c r="K6" s="6" t="n"/>
    </row>
    <row r="7" ht="60" customHeight="1">
      <c r="A7" s="5" t="n">
        <v>6</v>
      </c>
      <c r="B7" s="5" t="inlineStr">
        <is>
          <t>복귀 예정 휴직자</t>
        </is>
      </c>
      <c r="C7" s="5" t="inlineStr">
        <is>
          <t>HR_ADMIN</t>
        </is>
      </c>
      <c r="D7" s="5" t="inlineStr">
        <is>
          <t>EDGE-006 시드</t>
        </is>
      </c>
      <c r="E7" s="5" t="inlineStr">
        <is>
          <t>한복귀 (EDGE-006)</t>
        </is>
      </c>
      <c r="F7" s="5" t="inlineStr">
        <is>
          <t>직원 목록 또는 휴가/휴직 관리</t>
        </is>
      </c>
      <c r="G7" s="5" t="inlineStr">
        <is>
          <t>복귀 예정 알림 + 복귀 처리 버튼</t>
        </is>
      </c>
      <c r="H7" s="6" t="n"/>
      <c r="I7" s="6" t="n"/>
      <c r="J7" s="6" t="n"/>
      <c r="K7" s="6" t="n"/>
    </row>
    <row r="8" ht="60" customHeight="1">
      <c r="A8" s="5" t="n">
        <v>7</v>
      </c>
      <c r="B8" s="5" t="inlineStr">
        <is>
          <t>퇴사 예정자 오프보딩</t>
        </is>
      </c>
      <c r="C8" s="5" t="inlineStr">
        <is>
          <t>HR_ADMIN</t>
        </is>
      </c>
      <c r="D8" s="5" t="inlineStr">
        <is>
          <t>EDGE-007 시드</t>
        </is>
      </c>
      <c r="E8" s="5" t="inlineStr">
        <is>
          <t>오퇴사 (EDGE-007)</t>
        </is>
      </c>
      <c r="F8" s="5" t="inlineStr">
        <is>
          <t>직원 목록 + 오프보딩</t>
        </is>
      </c>
      <c r="G8" s="5" t="inlineStr">
        <is>
          <t>4 게이트 체크리스트 생성됨 (퇴사일 2026-05-06)</t>
        </is>
      </c>
      <c r="H8" s="6" t="n"/>
      <c r="I8" s="6" t="n"/>
      <c r="J8" s="6" t="n"/>
      <c r="K8" s="6" t="n"/>
    </row>
    <row r="9" ht="60" customHeight="1">
      <c r="A9" s="5" t="n">
        <v>8</v>
      </c>
      <c r="B9" s="5" t="inlineStr">
        <is>
          <t>퇴직 완료 접근 차단</t>
        </is>
      </c>
      <c r="C9" s="5" t="inlineStr">
        <is>
          <t>HR_ADMIN</t>
        </is>
      </c>
      <c r="D9" s="5" t="inlineStr">
        <is>
          <t>EDGE-008 시드</t>
        </is>
      </c>
      <c r="E9" s="5" t="inlineStr">
        <is>
          <t>유퇴직 (EDGE-008)</t>
        </is>
      </c>
      <c r="F9" s="5" t="inlineStr">
        <is>
          <t>활성 직원 목록 필터</t>
        </is>
      </c>
      <c r="G9" s="5" t="inlineStr">
        <is>
          <t>활성 목록에서 제외 + 로그인 차단</t>
        </is>
      </c>
      <c r="H9" s="6" t="n"/>
      <c r="I9" s="6" t="n"/>
      <c r="J9" s="6" t="n"/>
      <c r="K9" s="6" t="n"/>
    </row>
    <row r="10" ht="60" customHeight="1">
      <c r="A10" s="5" t="n">
        <v>9</v>
      </c>
      <c r="B10" s="5" t="inlineStr">
        <is>
          <t>겸직자 (2개 법인)</t>
        </is>
      </c>
      <c r="C10" s="5" t="inlineStr">
        <is>
          <t>HR_ADMIN</t>
        </is>
      </c>
      <c r="D10" s="5" t="inlineStr">
        <is>
          <t>EDGE-009 시드</t>
        </is>
      </c>
      <c r="E10" s="5" t="inlineStr">
        <is>
          <t>강겸직 (EDGE-009)</t>
        </is>
      </c>
      <c r="F10" s="5" t="inlineStr">
        <is>
          <t>직원 상세 &gt; 발령 정보</t>
        </is>
      </c>
      <c r="G10" s="5" t="inlineStr">
        <is>
          <t>2개 법인 발령 모두 표시</t>
        </is>
      </c>
      <c r="H10" s="6" t="n"/>
      <c r="I10" s="6" t="n"/>
      <c r="J10" s="6" t="n"/>
      <c r="K10" s="6" t="n"/>
    </row>
    <row r="11" ht="60" customHeight="1">
      <c r="A11" s="5" t="n">
        <v>10</v>
      </c>
      <c r="B11" s="5" t="inlineStr">
        <is>
          <t>다직위자 (3개 직위)</t>
        </is>
      </c>
      <c r="C11" s="5" t="inlineStr">
        <is>
          <t>HR_ADMIN</t>
        </is>
      </c>
      <c r="D11" s="5" t="inlineStr">
        <is>
          <t>EDGE-010 시드</t>
        </is>
      </c>
      <c r="E11" s="5" t="inlineStr">
        <is>
          <t>임다직 (EDGE-010)</t>
        </is>
      </c>
      <c r="F11" s="5" t="inlineStr">
        <is>
          <t>직원 상세</t>
        </is>
      </c>
      <c r="G11" s="5" t="inlineStr">
        <is>
          <t>3개 직위 모두 표시 + 주직위 구분</t>
        </is>
      </c>
      <c r="H11" s="6" t="n"/>
      <c r="I11" s="6" t="n"/>
      <c r="J11" s="6" t="n"/>
      <c r="K11" s="6" t="n"/>
    </row>
    <row r="12" ht="60" customHeight="1">
      <c r="A12" s="5" t="n">
        <v>11</v>
      </c>
      <c r="B12" s="5" t="inlineStr">
        <is>
          <t>매니저 없는 직원 (CEO)</t>
        </is>
      </c>
      <c r="C12" s="5" t="inlineStr">
        <is>
          <t>HR_ADMIN</t>
        </is>
      </c>
      <c r="D12" s="5" t="inlineStr">
        <is>
          <t>EDGE-011 시드</t>
        </is>
      </c>
      <c r="E12" s="5" t="inlineStr">
        <is>
          <t>윤대표 (EDGE-011)</t>
        </is>
      </c>
      <c r="F12" s="5" t="inlineStr">
        <is>
          <t>직원 상세 + 결재 라인</t>
        </is>
      </c>
      <c r="G12" s="5" t="inlineStr">
        <is>
          <t>상위 보고자 없이 정상 표시. 결재 스킵 또는 HR 직접</t>
        </is>
      </c>
      <c r="H12" s="6" t="n"/>
      <c r="I12" s="6" t="n"/>
      <c r="J12" s="6" t="n"/>
      <c r="K12" s="6" t="n"/>
    </row>
    <row r="13" ht="60" customHeight="1">
      <c r="A13" s="5" t="n">
        <v>12</v>
      </c>
      <c r="B13" s="5" t="inlineStr">
        <is>
          <t>EMPLOYEE 타인 급여 차단</t>
        </is>
      </c>
      <c r="C13" s="5" t="inlineStr">
        <is>
          <t>EMPLOYEE (employee-a)</t>
        </is>
      </c>
      <c r="D13" s="5" t="inlineStr">
        <is>
          <t>로그인 완료</t>
        </is>
      </c>
      <c r="E13" s="5" t="inlineStr">
        <is>
          <t>URL: /payroll/me/[다른직원RunID]</t>
        </is>
      </c>
      <c r="F13" s="5" t="inlineStr">
        <is>
          <t>주소창에 직접 입력</t>
        </is>
      </c>
      <c r="G13" s="5" t="inlineStr">
        <is>
          <t>403 또는 본인 급여만 조회 가능</t>
        </is>
      </c>
      <c r="H13" s="6" t="n"/>
      <c r="I13" s="6" t="n"/>
      <c r="J13" s="6" t="n"/>
      <c r="K13" s="6" t="n"/>
    </row>
    <row r="14" ht="60" customHeight="1">
      <c r="A14" s="5" t="n">
        <v>13</v>
      </c>
      <c r="B14" s="5" t="inlineStr">
        <is>
          <t>타 법인 데이터 격리</t>
        </is>
      </c>
      <c r="C14" s="5" t="inlineStr">
        <is>
          <t>HR_ADMIN (CTR)</t>
        </is>
      </c>
      <c r="D14" s="5" t="inlineStr">
        <is>
          <t>로그인 완료</t>
        </is>
      </c>
      <c r="E14" s="5" t="inlineStr"/>
      <c r="F14" s="5" t="inlineStr">
        <is>
          <t>CTR HR_ADMIN으로 CTR-CN 직원 접근 시도</t>
        </is>
      </c>
      <c r="G14" s="5" t="inlineStr">
        <is>
          <t>CTR-CN 데이터 미표시 (법인 격리)</t>
        </is>
      </c>
      <c r="H14" s="6" t="n"/>
      <c r="I14" s="6" t="n"/>
      <c r="J14" s="6" t="n"/>
      <c r="K14" s="6" t="n"/>
    </row>
    <row r="15" ht="60" customHeight="1">
      <c r="A15" s="5" t="n">
        <v>14</v>
      </c>
      <c r="B15" s="5" t="inlineStr">
        <is>
          <t>부서 미배정 신규 입사자</t>
        </is>
      </c>
      <c r="C15" s="5" t="inlineStr">
        <is>
          <t>HR_ADMIN</t>
        </is>
      </c>
      <c r="D15" s="5" t="inlineStr">
        <is>
          <t>EDGE-012 시드</t>
        </is>
      </c>
      <c r="E15" s="5" t="inlineStr">
        <is>
          <t>신입사 (EDGE-012)</t>
        </is>
      </c>
      <c r="F15" s="5" t="inlineStr">
        <is>
          <t>직원 목록</t>
        </is>
      </c>
      <c r="G15" s="5" t="inlineStr">
        <is>
          <t>부서 미배정 상태로 오류 없이 표시 + 부서 배정 필요 알림</t>
        </is>
      </c>
      <c r="H15" s="6" t="n"/>
      <c r="I15" s="6" t="n"/>
      <c r="J15" s="6" t="n"/>
      <c r="K15" s="6" t="n"/>
    </row>
    <row r="16" ht="60" customHeight="1">
      <c r="A16" s="5" t="n">
        <v>15</v>
      </c>
      <c r="B16" s="5" t="inlineStr">
        <is>
          <t>법인 간 전적</t>
        </is>
      </c>
      <c r="C16" s="5" t="inlineStr">
        <is>
          <t>HR_ADMIN</t>
        </is>
      </c>
      <c r="D16" s="5" t="inlineStr">
        <is>
          <t>EDGE-013 시드</t>
        </is>
      </c>
      <c r="E16" s="5" t="inlineStr">
        <is>
          <t>배전적 (EDGE-013)</t>
        </is>
      </c>
      <c r="F16" s="5" t="inlineStr">
        <is>
          <t>직원 상세</t>
        </is>
      </c>
      <c r="G16" s="5" t="inlineStr">
        <is>
          <t>법인 전적(CTR→CTR-CN) 이력 발령 이력에 기록</t>
        </is>
      </c>
      <c r="H16" s="6" t="n"/>
      <c r="I16" s="6" t="n"/>
      <c r="J16" s="6" t="n"/>
      <c r="K16" s="6" t="n"/>
    </row>
    <row r="17" ht="60" customHeight="1">
      <c r="A17" s="5" t="n">
        <v>16</v>
      </c>
      <c r="B17" s="5" t="inlineStr">
        <is>
          <t>Grade 없음</t>
        </is>
      </c>
      <c r="C17" s="5" t="inlineStr">
        <is>
          <t>HR_ADMIN</t>
        </is>
      </c>
      <c r="D17" s="5" t="inlineStr">
        <is>
          <t>EDGE-014 시드</t>
        </is>
      </c>
      <c r="E17" s="5" t="inlineStr">
        <is>
          <t>Alex NoGrade (EDGE-014)</t>
        </is>
      </c>
      <c r="F17" s="5" t="inlineStr">
        <is>
          <t>직원 상세</t>
        </is>
      </c>
      <c r="G17" s="5" t="inlineStr">
        <is>
          <t>Grade 미할당 상태 오류 없이 표시</t>
        </is>
      </c>
      <c r="H17" s="6" t="n"/>
      <c r="I17" s="6" t="n"/>
      <c r="J17" s="6" t="n"/>
      <c r="K17" s="6" t="n"/>
    </row>
    <row r="18" ht="60" customHeight="1">
      <c r="A18" s="5" t="n">
        <v>17</v>
      </c>
      <c r="B18" s="5" t="inlineStr">
        <is>
          <t>연봉 밴드 초과자</t>
        </is>
      </c>
      <c r="C18" s="5" t="inlineStr">
        <is>
          <t>HR_ADMIN</t>
        </is>
      </c>
      <c r="D18" s="5" t="inlineStr">
        <is>
          <t>EDGE-015 시드</t>
        </is>
      </c>
      <c r="E18" s="5" t="inlineStr">
        <is>
          <t>고초과 (EDGE-015)</t>
        </is>
      </c>
      <c r="F18" s="5" t="inlineStr">
        <is>
          <t>보상 관리</t>
        </is>
      </c>
      <c r="G18" s="5" t="inlineStr">
        <is>
          <t>밴드 상한 초과 경고</t>
        </is>
      </c>
      <c r="H18" s="6" t="n"/>
      <c r="I18" s="6" t="n"/>
      <c r="J18" s="6" t="n"/>
      <c r="K18" s="6" t="n"/>
    </row>
    <row r="19" ht="60" customHeight="1">
      <c r="A19" s="5" t="n">
        <v>18</v>
      </c>
      <c r="B19" s="5" t="inlineStr">
        <is>
          <t>연봉 밴드 미달자</t>
        </is>
      </c>
      <c r="C19" s="5" t="inlineStr">
        <is>
          <t>HR_ADMIN</t>
        </is>
      </c>
      <c r="D19" s="5" t="inlineStr">
        <is>
          <t>EDGE-016 시드</t>
        </is>
      </c>
      <c r="E19" s="5" t="inlineStr">
        <is>
          <t>하미달 (EDGE-016)</t>
        </is>
      </c>
      <c r="F19" s="5" t="inlineStr">
        <is>
          <t>보상 관리</t>
        </is>
      </c>
      <c r="G19" s="5" t="inlineStr">
        <is>
          <t>밴드 하한 미달 경고</t>
        </is>
      </c>
      <c r="H19" s="6" t="n"/>
      <c r="I19" s="6" t="n"/>
      <c r="J19" s="6" t="n"/>
      <c r="K19" s="6" t="n"/>
    </row>
    <row r="20" ht="60" customHeight="1">
      <c r="A20" s="5" t="n">
        <v>19</v>
      </c>
      <c r="B20" s="5" t="inlineStr">
        <is>
          <t>무급 인턴</t>
        </is>
      </c>
      <c r="C20" s="5" t="inlineStr">
        <is>
          <t>HR_ADMIN</t>
        </is>
      </c>
      <c r="D20" s="5" t="inlineStr">
        <is>
          <t>EDGE-017 시드</t>
        </is>
      </c>
      <c r="E20" s="5" t="inlineStr">
        <is>
          <t>무급실 (EDGE-017)</t>
        </is>
      </c>
      <c r="F20" s="5" t="inlineStr">
        <is>
          <t>급여 실행</t>
        </is>
      </c>
      <c r="G20" s="5" t="inlineStr">
        <is>
          <t>급여 대상 제외 또는 0원</t>
        </is>
      </c>
      <c r="H20" s="6" t="n"/>
      <c r="I20" s="6" t="n"/>
      <c r="J20" s="6" t="n"/>
      <c r="K20" s="6" t="n"/>
    </row>
    <row r="21" ht="60" customHeight="1">
      <c r="A21" s="5" t="n">
        <v>20</v>
      </c>
      <c r="B21" s="5" t="inlineStr">
        <is>
          <t>빈번한 급여 변경</t>
        </is>
      </c>
      <c r="C21" s="5" t="inlineStr">
        <is>
          <t>HR_ADMIN</t>
        </is>
      </c>
      <c r="D21" s="5" t="inlineStr">
        <is>
          <t>EDGE-018 시드</t>
        </is>
      </c>
      <c r="E21" s="5" t="inlineStr">
        <is>
          <t>변봉급 (EDGE-018)</t>
        </is>
      </c>
      <c r="F21" s="5" t="inlineStr">
        <is>
          <t>급여 이상 검토</t>
        </is>
      </c>
      <c r="G21" s="5" t="inlineStr">
        <is>
          <t>잦은 변경 이력 이상 항목으로 감지</t>
        </is>
      </c>
      <c r="H21" s="6" t="n"/>
      <c r="I21" s="6" t="n"/>
      <c r="J21" s="6" t="n"/>
      <c r="K21" s="6" t="n"/>
    </row>
    <row r="22" ht="60" customHeight="1">
      <c r="A22" s="5" t="n">
        <v>21</v>
      </c>
      <c r="B22" s="5" t="inlineStr">
        <is>
          <t>비정기 조정 대기</t>
        </is>
      </c>
      <c r="C22" s="5" t="inlineStr">
        <is>
          <t>HR_ADMIN</t>
        </is>
      </c>
      <c r="D22" s="5" t="inlineStr">
        <is>
          <t>EDGE-019 시드</t>
        </is>
      </c>
      <c r="E22" s="5" t="inlineStr">
        <is>
          <t>승대기 (EDGE-019)</t>
        </is>
      </c>
      <c r="F22" s="5" t="inlineStr">
        <is>
          <t>비정기 조정 목록</t>
        </is>
      </c>
      <c r="G22" s="5" t="inlineStr">
        <is>
          <t>승인 대기 건 표시</t>
        </is>
      </c>
      <c r="H22" s="6" t="n"/>
      <c r="I22" s="6" t="n"/>
      <c r="J22" s="6" t="n"/>
      <c r="K22" s="6" t="n"/>
    </row>
    <row r="23" ht="60" customHeight="1">
      <c r="A23" s="5" t="n">
        <v>22</v>
      </c>
      <c r="B23" s="5" t="inlineStr">
        <is>
          <t>재수정 요청 직원</t>
        </is>
      </c>
      <c r="C23" s="5" t="inlineStr">
        <is>
          <t>HR_ADMIN</t>
        </is>
      </c>
      <c r="D23" s="5" t="inlineStr">
        <is>
          <t>EDGE-020 시드</t>
        </is>
      </c>
      <c r="E23" s="5" t="inlineStr">
        <is>
          <t>재수정 (EDGE-020)</t>
        </is>
      </c>
      <c r="F23" s="5" t="inlineStr">
        <is>
          <t>결재함</t>
        </is>
      </c>
      <c r="G23" s="5" t="inlineStr">
        <is>
          <t>재수정 요청 흐름 처리</t>
        </is>
      </c>
      <c r="H23" s="6" t="n"/>
      <c r="I23" s="6" t="n"/>
      <c r="J23" s="6" t="n"/>
      <c r="K23" s="6" t="n"/>
    </row>
    <row r="24" ht="60" customHeight="1">
      <c r="A24" s="5" t="n">
        <v>23</v>
      </c>
      <c r="B24" s="5" t="inlineStr">
        <is>
          <t>연차 잔액 0일</t>
        </is>
      </c>
      <c r="C24" s="5" t="inlineStr">
        <is>
          <t>HR_ADMIN</t>
        </is>
      </c>
      <c r="D24" s="5" t="inlineStr">
        <is>
          <t>EDGE-021 시드</t>
        </is>
      </c>
      <c r="E24" s="5" t="inlineStr">
        <is>
          <t>공소진 (EDGE-021)</t>
        </is>
      </c>
      <c r="F24" s="5" t="inlineStr">
        <is>
          <t>휴가 관리 + 추가 신청 시도</t>
        </is>
      </c>
      <c r="G24" s="5" t="inlineStr">
        <is>
          <t>잔액 0일 + 차단 또는 마이너스 경고</t>
        </is>
      </c>
      <c r="H24" s="6" t="n"/>
      <c r="I24" s="6" t="n"/>
      <c r="J24" s="6" t="n"/>
      <c r="K24" s="6" t="n"/>
    </row>
    <row r="25" ht="60" customHeight="1">
      <c r="A25" s="5" t="n">
        <v>24</v>
      </c>
      <c r="B25" s="5" t="inlineStr">
        <is>
          <t>연차 마이너스 잔액</t>
        </is>
      </c>
      <c r="C25" s="5" t="inlineStr">
        <is>
          <t>HR_ADMIN</t>
        </is>
      </c>
      <c r="D25" s="5" t="inlineStr">
        <is>
          <t>EDGE-022 시드</t>
        </is>
      </c>
      <c r="E25" s="5" t="inlineStr">
        <is>
          <t>마이너 (EDGE-022)</t>
        </is>
      </c>
      <c r="F25" s="5" t="inlineStr">
        <is>
          <t>휴가 관리</t>
        </is>
      </c>
      <c r="G25" s="5" t="inlineStr">
        <is>
          <t>마이너스 잔액 표시 + 급여 공제 연동 확인</t>
        </is>
      </c>
      <c r="H25" s="6" t="n"/>
      <c r="I25" s="6" t="n"/>
      <c r="J25" s="6" t="n"/>
      <c r="K25" s="6" t="n"/>
    </row>
    <row r="26" ht="60" customHeight="1">
      <c r="A26" s="5" t="n">
        <v>25</v>
      </c>
      <c r="B26" s="5" t="inlineStr">
        <is>
          <t>빈번한 지각</t>
        </is>
      </c>
      <c r="C26" s="5" t="inlineStr">
        <is>
          <t>HR_ADMIN</t>
        </is>
      </c>
      <c r="D26" s="5" t="inlineStr">
        <is>
          <t>EDGE-023 시드</t>
        </is>
      </c>
      <c r="E26" s="5" t="inlineStr">
        <is>
          <t>지각왕 (EDGE-023)</t>
        </is>
      </c>
      <c r="F26" s="5" t="inlineStr">
        <is>
          <t>근태 관리 이력</t>
        </is>
      </c>
      <c r="G26" s="5" t="inlineStr">
        <is>
          <t>빈번한 지각 패턴 이상 항목으로 감지</t>
        </is>
      </c>
      <c r="H26" s="6" t="n"/>
      <c r="I26" s="6" t="n"/>
      <c r="J26" s="6" t="n"/>
      <c r="K26" s="6" t="n"/>
    </row>
    <row r="27" ht="60" customHeight="1">
      <c r="A27" s="5" t="n">
        <v>26</v>
      </c>
      <c r="B27" s="5" t="inlineStr">
        <is>
          <t>52시간 초과 위험</t>
        </is>
      </c>
      <c r="C27" s="5" t="inlineStr">
        <is>
          <t>HR_ADMIN</t>
        </is>
      </c>
      <c r="D27" s="5" t="inlineStr">
        <is>
          <t>EDGE-024 시드</t>
        </is>
      </c>
      <c r="E27" s="5" t="inlineStr">
        <is>
          <t>과로자 (EDGE-024)</t>
        </is>
      </c>
      <c r="F27" s="5" t="inlineStr">
        <is>
          <t>근태 관리 또는 대시보드</t>
        </is>
      </c>
      <c r="G27" s="5" t="inlineStr">
        <is>
          <t>주 52시간 초과 위험 경고</t>
        </is>
      </c>
      <c r="H27" s="6" t="n"/>
      <c r="I27" s="6" t="n"/>
      <c r="J27" s="6" t="n"/>
      <c r="K27" s="6" t="n"/>
    </row>
    <row r="28" ht="60" customHeight="1">
      <c r="A28" s="5" t="n">
        <v>27</v>
      </c>
      <c r="B28" s="5" t="inlineStr">
        <is>
          <t>복합 휴가 직원</t>
        </is>
      </c>
      <c r="C28" s="5" t="inlineStr">
        <is>
          <t>HR_ADMIN</t>
        </is>
      </c>
      <c r="D28" s="5" t="inlineStr">
        <is>
          <t>EDGE-025 시드</t>
        </is>
      </c>
      <c r="E28" s="5" t="inlineStr">
        <is>
          <t>복합휴 (EDGE-025)</t>
        </is>
      </c>
      <c r="F28" s="5" t="inlineStr">
        <is>
          <t>휴가 관리</t>
        </is>
      </c>
      <c r="G28" s="5" t="inlineStr">
        <is>
          <t>복수 휴가 유형 동시 적용 정보 정확히 표시</t>
        </is>
      </c>
      <c r="H28" s="6" t="n"/>
      <c r="I28" s="6" t="n"/>
      <c r="J28" s="6" t="n"/>
      <c r="K28" s="6" t="n"/>
    </row>
    <row r="29" ht="60" customHeight="1">
      <c r="A29" s="7" t="n">
        <v>28</v>
      </c>
      <c r="B29" s="7" t="inlineStr">
        <is>
          <t>목표 수정 직원</t>
        </is>
      </c>
      <c r="C29" s="7" t="inlineStr">
        <is>
          <t>HR_ADMIN</t>
        </is>
      </c>
      <c r="D29" s="7" t="inlineStr">
        <is>
          <t>EDGE-026 시드</t>
        </is>
      </c>
      <c r="E29" s="7" t="inlineStr">
        <is>
          <t>목수정 (EDGE-026)</t>
        </is>
      </c>
      <c r="F29" s="7" t="inlineStr">
        <is>
          <t>성과 관리</t>
        </is>
      </c>
      <c r="G29" s="7" t="inlineStr">
        <is>
          <t>GoalRevision 이력 표시</t>
        </is>
      </c>
      <c r="H29" s="6" t="n"/>
      <c r="I29" s="6" t="n"/>
      <c r="J29" s="6" t="n"/>
      <c r="K29" s="6" t="n"/>
    </row>
    <row r="30" ht="60" customHeight="1">
      <c r="A30" s="7" t="n">
        <v>29</v>
      </c>
      <c r="B30" s="7" t="inlineStr">
        <is>
          <t>분기 리뷰 직원</t>
        </is>
      </c>
      <c r="C30" s="7" t="inlineStr">
        <is>
          <t>HR_ADMIN</t>
        </is>
      </c>
      <c r="D30" s="7" t="inlineStr">
        <is>
          <t>EDGE-027 시드</t>
        </is>
      </c>
      <c r="E30" s="7" t="inlineStr">
        <is>
          <t>분리뷰 (EDGE-027)</t>
        </is>
      </c>
      <c r="F30" s="7" t="inlineStr">
        <is>
          <t>분기 리뷰 목록</t>
        </is>
      </c>
      <c r="G30" s="7" t="inlineStr">
        <is>
          <t>QuarterlyReview 듀얼 제출 이력 확인</t>
        </is>
      </c>
      <c r="H30" s="6" t="n"/>
      <c r="I30" s="6" t="n"/>
      <c r="J30" s="6" t="n"/>
      <c r="K30" s="6" t="n"/>
    </row>
    <row r="31" ht="60" customHeight="1">
      <c r="A31" s="7" t="n">
        <v>30</v>
      </c>
      <c r="B31" s="7" t="inlineStr">
        <is>
          <t>등급 하향 직원</t>
        </is>
      </c>
      <c r="C31" s="7" t="inlineStr">
        <is>
          <t>HR_ADMIN</t>
        </is>
      </c>
      <c r="D31" s="7" t="inlineStr">
        <is>
          <t>EDGE-028 시드</t>
        </is>
      </c>
      <c r="E31" s="7" t="inlineStr">
        <is>
          <t>등하향 (EDGE-028)</t>
        </is>
      </c>
      <c r="F31" s="7" t="inlineStr">
        <is>
          <t>캘리브레이션</t>
        </is>
      </c>
      <c r="G31" s="7" t="inlineStr">
        <is>
          <t>DnD 등급 하향 조정 결과 보존</t>
        </is>
      </c>
      <c r="H31" s="6" t="n"/>
      <c r="I31" s="6" t="n"/>
      <c r="J31" s="6" t="n"/>
      <c r="K31" s="6" t="n"/>
    </row>
    <row r="32" ht="60" customHeight="1">
      <c r="A32" s="5" t="n">
        <v>31</v>
      </c>
      <c r="B32" s="5" t="inlineStr">
        <is>
          <t>잘못된 URL 직접 입력</t>
        </is>
      </c>
      <c r="C32" s="5" t="inlineStr">
        <is>
          <t>EMPLOYEE</t>
        </is>
      </c>
      <c r="D32" s="5" t="inlineStr">
        <is>
          <t>로그인 완료</t>
        </is>
      </c>
      <c r="E32" s="5" t="inlineStr">
        <is>
          <t>URL: /존재하지않는페이지</t>
        </is>
      </c>
      <c r="F32" s="5" t="inlineStr">
        <is>
          <t>주소창에 존재하지 않는 경로 입력</t>
        </is>
      </c>
      <c r="G32" s="5" t="inlineStr">
        <is>
          <t>404 페이지 표시 또는 홈 리다이렉트</t>
        </is>
      </c>
      <c r="H32" s="6" t="n"/>
      <c r="I32" s="6" t="n"/>
      <c r="J32" s="6" t="n"/>
      <c r="K32" s="6" t="n"/>
    </row>
    <row r="33" ht="60" customHeight="1">
      <c r="A33" s="5" t="n">
        <v>32</v>
      </c>
      <c r="B33" s="5" t="inlineStr">
        <is>
          <t>동시 세션</t>
        </is>
      </c>
      <c r="C33" s="5" t="inlineStr">
        <is>
          <t>EMPLOYEE</t>
        </is>
      </c>
      <c r="D33" s="5" t="inlineStr">
        <is>
          <t>로그인 완료</t>
        </is>
      </c>
      <c r="E33" s="5" t="inlineStr">
        <is>
          <t>2개 브라우저 동시 로그인</t>
        </is>
      </c>
      <c r="F33" s="5" t="inlineStr">
        <is>
          <t>두 브라우저에서 동일 계정 동시 작업</t>
        </is>
      </c>
      <c r="G33" s="5" t="inlineStr">
        <is>
          <t>두 세션 정상 동작 또는 보안 정책에 따라 이전 세션 만료</t>
        </is>
      </c>
      <c r="H33" s="6" t="n"/>
      <c r="I33" s="6" t="n"/>
      <c r="J33" s="6" t="n"/>
      <c r="K33" s="6" t="n"/>
    </row>
  </sheetData>
  <conditionalFormatting sqref="I2:I3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</conditionalFormatting>
  <dataValidations count="1">
    <dataValidation sqref="I2:I33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A6A6A6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CTR HR Hub UAT v2 테스트 집계</t>
        </is>
      </c>
    </row>
    <row r="3">
      <c r="A3" s="9" t="inlineStr">
        <is>
          <t>시나리오·체크리스트 모듈별 집계</t>
        </is>
      </c>
    </row>
    <row r="4">
      <c r="A4" s="4" t="inlineStr">
        <is>
          <t>모듈</t>
        </is>
      </c>
      <c r="B4" s="4" t="inlineStr">
        <is>
          <t>총 항목수</t>
        </is>
      </c>
      <c r="C4" s="4" t="inlineStr">
        <is>
          <t>Pass</t>
        </is>
      </c>
      <c r="D4" s="4" t="inlineStr">
        <is>
          <t>Fail</t>
        </is>
      </c>
      <c r="E4" s="4" t="inlineStr">
        <is>
          <t>Block</t>
        </is>
      </c>
      <c r="F4" s="4" t="inlineStr">
        <is>
          <t>N/A</t>
        </is>
      </c>
      <c r="G4" s="4" t="inlineStr">
        <is>
          <t>미입력</t>
        </is>
      </c>
      <c r="H4" s="4" t="inlineStr">
        <is>
          <t>통과율(%)</t>
        </is>
      </c>
    </row>
    <row r="5">
      <c r="A5" s="10" t="inlineStr">
        <is>
          <t>인사관리</t>
        </is>
      </c>
      <c r="B5" s="10" t="n">
        <v>30</v>
      </c>
      <c r="C5" s="10">
        <f>COUNTIF('인사관리'!I2:I31,"Pass")</f>
        <v/>
      </c>
      <c r="D5" s="10">
        <f>COUNTIF('인사관리'!I2:I31,"Fail")</f>
        <v/>
      </c>
      <c r="E5" s="10">
        <f>COUNTIF('인사관리'!I2:I31,"Block")</f>
        <v/>
      </c>
      <c r="F5" s="10">
        <f>COUNTIF('인사관리'!I2:I31,"N/A")</f>
        <v/>
      </c>
      <c r="G5" s="10">
        <f>B5-C5-D5-E5-F5</f>
        <v/>
      </c>
      <c r="H5" s="11">
        <f>IFERROR(C5/B5*100,0)</f>
        <v/>
      </c>
    </row>
    <row r="6">
      <c r="A6" s="10" t="inlineStr">
        <is>
          <t>출퇴근</t>
        </is>
      </c>
      <c r="B6" s="10" t="n">
        <v>22</v>
      </c>
      <c r="C6" s="10">
        <f>COUNTIF('출퇴근'!I2:I23,"Pass")</f>
        <v/>
      </c>
      <c r="D6" s="10">
        <f>COUNTIF('출퇴근'!I2:I23,"Fail")</f>
        <v/>
      </c>
      <c r="E6" s="10">
        <f>COUNTIF('출퇴근'!I2:I23,"Block")</f>
        <v/>
      </c>
      <c r="F6" s="10">
        <f>COUNTIF('출퇴근'!I2:I23,"N/A")</f>
        <v/>
      </c>
      <c r="G6" s="10">
        <f>B6-C6-D6-E6-F6</f>
        <v/>
      </c>
      <c r="H6" s="11">
        <f>IFERROR(C6/B6*100,0)</f>
        <v/>
      </c>
    </row>
    <row r="7">
      <c r="A7" s="10" t="inlineStr">
        <is>
          <t>휴가관리</t>
        </is>
      </c>
      <c r="B7" s="10" t="n">
        <v>18</v>
      </c>
      <c r="C7" s="10">
        <f>COUNTIF('휴가관리'!I2:I19,"Pass")</f>
        <v/>
      </c>
      <c r="D7" s="10">
        <f>COUNTIF('휴가관리'!I2:I19,"Fail")</f>
        <v/>
      </c>
      <c r="E7" s="10">
        <f>COUNTIF('휴가관리'!I2:I19,"Block")</f>
        <v/>
      </c>
      <c r="F7" s="10">
        <f>COUNTIF('휴가관리'!I2:I19,"N/A")</f>
        <v/>
      </c>
      <c r="G7" s="10">
        <f>B7-C7-D7-E7-F7</f>
        <v/>
      </c>
      <c r="H7" s="11">
        <f>IFERROR(C7/B7*100,0)</f>
        <v/>
      </c>
    </row>
    <row r="8">
      <c r="A8" s="10" t="inlineStr">
        <is>
          <t>휴직</t>
        </is>
      </c>
      <c r="B8" s="10" t="n">
        <v>12</v>
      </c>
      <c r="C8" s="10">
        <f>COUNTIF('휴직'!I2:I13,"Pass")</f>
        <v/>
      </c>
      <c r="D8" s="10">
        <f>COUNTIF('휴직'!I2:I13,"Fail")</f>
        <v/>
      </c>
      <c r="E8" s="10">
        <f>COUNTIF('휴직'!I2:I13,"Block")</f>
        <v/>
      </c>
      <c r="F8" s="10">
        <f>COUNTIF('휴직'!I2:I13,"N/A")</f>
        <v/>
      </c>
      <c r="G8" s="10">
        <f>B8-C8-D8-E8-F8</f>
        <v/>
      </c>
      <c r="H8" s="11">
        <f>IFERROR(C8/B8*100,0)</f>
        <v/>
      </c>
    </row>
    <row r="9">
      <c r="A9" s="10" t="inlineStr">
        <is>
          <t>급여</t>
        </is>
      </c>
      <c r="B9" s="10" t="n">
        <v>22</v>
      </c>
      <c r="C9" s="10">
        <f>COUNTIF('급여'!I2:I23,"Pass")</f>
        <v/>
      </c>
      <c r="D9" s="10">
        <f>COUNTIF('급여'!I2:I23,"Fail")</f>
        <v/>
      </c>
      <c r="E9" s="10">
        <f>COUNTIF('급여'!I2:I23,"Block")</f>
        <v/>
      </c>
      <c r="F9" s="10">
        <f>COUNTIF('급여'!I2:I23,"N/A")</f>
        <v/>
      </c>
      <c r="G9" s="10">
        <f>B9-C9-D9-E9-F9</f>
        <v/>
      </c>
      <c r="H9" s="11">
        <f>IFERROR(C9/B9*100,0)</f>
        <v/>
      </c>
    </row>
    <row r="10">
      <c r="A10" s="10" t="inlineStr">
        <is>
          <t>결재·승인</t>
        </is>
      </c>
      <c r="B10" s="10" t="n">
        <v>22</v>
      </c>
      <c r="C10" s="10">
        <f>COUNTIF('결재·승인'!I2:I23,"Pass")</f>
        <v/>
      </c>
      <c r="D10" s="10">
        <f>COUNTIF('결재·승인'!I2:I23,"Fail")</f>
        <v/>
      </c>
      <c r="E10" s="10">
        <f>COUNTIF('결재·승인'!I2:I23,"Block")</f>
        <v/>
      </c>
      <c r="F10" s="10">
        <f>COUNTIF('결재·승인'!I2:I23,"N/A")</f>
        <v/>
      </c>
      <c r="G10" s="10">
        <f>B10-C10-D10-E10-F10</f>
        <v/>
      </c>
      <c r="H10" s="11">
        <f>IFERROR(C10/B10*100,0)</f>
        <v/>
      </c>
    </row>
    <row r="11">
      <c r="A11" s="10" t="inlineStr">
        <is>
          <t>마스터데이터·설정</t>
        </is>
      </c>
      <c r="B11" s="10" t="n">
        <v>37</v>
      </c>
      <c r="C11" s="10">
        <f>COUNTIF('마스터데이터·설정'!I2:I38,"Pass")</f>
        <v/>
      </c>
      <c r="D11" s="10">
        <f>COUNTIF('마스터데이터·설정'!I2:I38,"Fail")</f>
        <v/>
      </c>
      <c r="E11" s="10">
        <f>COUNTIF('마스터데이터·설정'!I2:I38,"Block")</f>
        <v/>
      </c>
      <c r="F11" s="10">
        <f>COUNTIF('마스터데이터·설정'!I2:I38,"N/A")</f>
        <v/>
      </c>
      <c r="G11" s="10">
        <f>B11-C11-D11-E11-F11</f>
        <v/>
      </c>
      <c r="H11" s="11">
        <f>IFERROR(C11/B11*100,0)</f>
        <v/>
      </c>
    </row>
    <row r="12">
      <c r="A12" s="10" t="inlineStr">
        <is>
          <t>성과</t>
        </is>
      </c>
      <c r="B12" s="10" t="n">
        <v>20</v>
      </c>
      <c r="C12" s="10">
        <f>COUNTIF('성과'!I2:I21,"Pass")</f>
        <v/>
      </c>
      <c r="D12" s="10">
        <f>COUNTIF('성과'!I2:I21,"Fail")</f>
        <v/>
      </c>
      <c r="E12" s="10">
        <f>COUNTIF('성과'!I2:I21,"Block")</f>
        <v/>
      </c>
      <c r="F12" s="10">
        <f>COUNTIF('성과'!I2:I21,"N/A")</f>
        <v/>
      </c>
      <c r="G12" s="10">
        <f>B12-C12-D12-E12-F12</f>
        <v/>
      </c>
      <c r="H12" s="11">
        <f>IFERROR(C12/B12*100,0)</f>
        <v/>
      </c>
    </row>
    <row r="13">
      <c r="A13" s="10" t="inlineStr">
        <is>
          <t>채용</t>
        </is>
      </c>
      <c r="B13" s="10" t="n">
        <v>25</v>
      </c>
      <c r="C13" s="10">
        <f>COUNTIF('채용'!E2:E26,"Y")</f>
        <v/>
      </c>
      <c r="D13" s="10">
        <f>COUNTIF('채용'!E2:E26,"N")</f>
        <v/>
      </c>
      <c r="E13" s="10" t="n">
        <v>0</v>
      </c>
      <c r="F13" s="10">
        <f>COUNTIF('채용'!E2:E26,"NA")</f>
        <v/>
      </c>
      <c r="G13" s="10">
        <f>B13-C13-D13-E13-F13</f>
        <v/>
      </c>
      <c r="H13" s="11">
        <f>IFERROR(C13/B13*100,0)</f>
        <v/>
      </c>
    </row>
    <row r="14">
      <c r="A14" s="10" t="inlineStr">
        <is>
          <t>보상</t>
        </is>
      </c>
      <c r="B14" s="10" t="n">
        <v>15</v>
      </c>
      <c r="C14" s="10">
        <f>COUNTIF('보상'!I2:I16,"Pass")</f>
        <v/>
      </c>
      <c r="D14" s="10">
        <f>COUNTIF('보상'!I2:I16,"Fail")</f>
        <v/>
      </c>
      <c r="E14" s="10">
        <f>COUNTIF('보상'!I2:I16,"Block")</f>
        <v/>
      </c>
      <c r="F14" s="10">
        <f>COUNTIF('보상'!I2:I16,"N/A")</f>
        <v/>
      </c>
      <c r="G14" s="10">
        <f>B14-C14-D14-E14-F14</f>
        <v/>
      </c>
      <c r="H14" s="11">
        <f>IFERROR(C14/B14*100,0)</f>
        <v/>
      </c>
    </row>
    <row r="15">
      <c r="A15" s="10" t="inlineStr">
        <is>
          <t>인사이트·분석</t>
        </is>
      </c>
      <c r="B15" s="10" t="n">
        <v>18</v>
      </c>
      <c r="C15" s="10">
        <f>COUNTIF('인사이트·분석'!E2:E19,"Y")</f>
        <v/>
      </c>
      <c r="D15" s="10">
        <f>COUNTIF('인사이트·분석'!E2:E19,"N")</f>
        <v/>
      </c>
      <c r="E15" s="10" t="n">
        <v>0</v>
      </c>
      <c r="F15" s="10">
        <f>COUNTIF('인사이트·분석'!E2:E19,"NA")</f>
        <v/>
      </c>
      <c r="G15" s="10">
        <f>B15-C15-D15-E15-F15</f>
        <v/>
      </c>
      <c r="H15" s="11">
        <f>IFERROR(C15/B15*100,0)</f>
        <v/>
      </c>
    </row>
    <row r="16">
      <c r="A16" s="10" t="inlineStr">
        <is>
          <t>온보딩·오프보딩</t>
        </is>
      </c>
      <c r="B16" s="10" t="n">
        <v>15</v>
      </c>
      <c r="C16" s="10">
        <f>COUNTIF('온보딩·오프보딩'!I2:I16,"Pass")</f>
        <v/>
      </c>
      <c r="D16" s="10">
        <f>COUNTIF('온보딩·오프보딩'!I2:I16,"Fail")</f>
        <v/>
      </c>
      <c r="E16" s="10">
        <f>COUNTIF('온보딩·오프보딩'!I2:I16,"Block")</f>
        <v/>
      </c>
      <c r="F16" s="10">
        <f>COUNTIF('온보딩·오프보딩'!I2:I16,"N/A")</f>
        <v/>
      </c>
      <c r="G16" s="10">
        <f>B16-C16-D16-E16-F16</f>
        <v/>
      </c>
      <c r="H16" s="11">
        <f>IFERROR(C16/B16*100,0)</f>
        <v/>
      </c>
    </row>
    <row r="17">
      <c r="A17" s="10" t="inlineStr">
        <is>
          <t>규정준수</t>
        </is>
      </c>
      <c r="B17" s="10" t="n">
        <v>10</v>
      </c>
      <c r="C17" s="10">
        <f>COUNTIF('규정준수'!E2:E11,"Y")</f>
        <v/>
      </c>
      <c r="D17" s="10">
        <f>COUNTIF('규정준수'!E2:E11,"N")</f>
        <v/>
      </c>
      <c r="E17" s="10" t="n">
        <v>0</v>
      </c>
      <c r="F17" s="10">
        <f>COUNTIF('규정준수'!E2:E11,"NA")</f>
        <v/>
      </c>
      <c r="G17" s="10">
        <f>B17-C17-D17-E17-F17</f>
        <v/>
      </c>
      <c r="H17" s="11">
        <f>IFERROR(C17/B17*100,0)</f>
        <v/>
      </c>
    </row>
    <row r="18">
      <c r="A18" s="10" t="inlineStr">
        <is>
          <t>My Space</t>
        </is>
      </c>
      <c r="B18" s="10" t="n">
        <v>20</v>
      </c>
      <c r="C18" s="10">
        <f>COUNTIF('My Space'!E2:E21,"Y")</f>
        <v/>
      </c>
      <c r="D18" s="10">
        <f>COUNTIF('My Space'!E2:E21,"N")</f>
        <v/>
      </c>
      <c r="E18" s="10" t="n">
        <v>0</v>
      </c>
      <c r="F18" s="10">
        <f>COUNTIF('My Space'!E2:E21,"NA")</f>
        <v/>
      </c>
      <c r="G18" s="10">
        <f>B18-C18-D18-E18-F18</f>
        <v/>
      </c>
      <c r="H18" s="11">
        <f>IFERROR(C18/B18*100,0)</f>
        <v/>
      </c>
    </row>
    <row r="19">
      <c r="A19" s="10" t="inlineStr">
        <is>
          <t>V2 홈</t>
        </is>
      </c>
      <c r="B19" s="10" t="n">
        <v>9</v>
      </c>
      <c r="C19" s="10">
        <f>COUNTIF('V2 홈'!I2:I10,"Pass")</f>
        <v/>
      </c>
      <c r="D19" s="10">
        <f>COUNTIF('V2 홈'!I2:I10,"Fail")</f>
        <v/>
      </c>
      <c r="E19" s="10">
        <f>COUNTIF('V2 홈'!I2:I10,"Block")</f>
        <v/>
      </c>
      <c r="F19" s="10">
        <f>COUNTIF('V2 홈'!I2:I10,"N/A")</f>
        <v/>
      </c>
      <c r="G19" s="10">
        <f>B19-C19-D19-E19-F19</f>
        <v/>
      </c>
      <c r="H19" s="11">
        <f>IFERROR(C19/B19*100,0)</f>
        <v/>
      </c>
    </row>
    <row r="20">
      <c r="A20" s="10" t="inlineStr">
        <is>
          <t>알림</t>
        </is>
      </c>
      <c r="B20" s="10" t="n">
        <v>11</v>
      </c>
      <c r="C20" s="10">
        <f>COUNTIF('알림'!E2:E12,"Y")</f>
        <v/>
      </c>
      <c r="D20" s="10">
        <f>COUNTIF('알림'!E2:E12,"N")</f>
        <v/>
      </c>
      <c r="E20" s="10" t="n">
        <v>0</v>
      </c>
      <c r="F20" s="10">
        <f>COUNTIF('알림'!E2:E12,"NA")</f>
        <v/>
      </c>
      <c r="G20" s="10">
        <f>B20-C20-D20-E20-F20</f>
        <v/>
      </c>
      <c r="H20" s="11">
        <f>IFERROR(C20/B20*100,0)</f>
        <v/>
      </c>
    </row>
    <row r="21">
      <c r="A21" s="10" t="inlineStr">
        <is>
          <t>엣지케이스</t>
        </is>
      </c>
      <c r="B21" s="10" t="n">
        <v>32</v>
      </c>
      <c r="C21" s="10">
        <f>COUNTIF('엣지케이스'!I2:I33,"Pass")</f>
        <v/>
      </c>
      <c r="D21" s="10">
        <f>COUNTIF('엣지케이스'!I2:I33,"Fail")</f>
        <v/>
      </c>
      <c r="E21" s="10">
        <f>COUNTIF('엣지케이스'!I2:I33,"Block")</f>
        <v/>
      </c>
      <c r="F21" s="10">
        <f>COUNTIF('엣지케이스'!I2:I33,"N/A")</f>
        <v/>
      </c>
      <c r="G21" s="10">
        <f>B21-C21-D21-E21-F21</f>
        <v/>
      </c>
      <c r="H21" s="11">
        <f>IFERROR(C21/B21*100,0)</f>
        <v/>
      </c>
    </row>
    <row r="22">
      <c r="A22" s="12" t="inlineStr">
        <is>
          <t>합계</t>
        </is>
      </c>
      <c r="B22" s="12">
        <f>SUM(B5:B21)</f>
        <v/>
      </c>
      <c r="C22" s="12">
        <f>SUM(C5:C21)</f>
        <v/>
      </c>
      <c r="D22" s="12">
        <f>SUM(D5:D21)</f>
        <v/>
      </c>
      <c r="E22" s="12">
        <f>SUM(E5:E21)</f>
        <v/>
      </c>
      <c r="F22" s="12">
        <f>SUM(F5:F21)</f>
        <v/>
      </c>
      <c r="G22" s="12">
        <f>SUM(G5:G21)</f>
        <v/>
      </c>
      <c r="H22" s="13">
        <f>IFERROR(C22/B22*100,0)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2026-05-12T09:25:30Z</dcterms:created>
  <dcterms:modified xmlns:dcterms="http://purl.org/dc/terms/" xmlns:xsi="http://www.w3.org/2001/XMLSchema-instance" xsi:type="dcterms:W3CDTF">2026-05-12T09:25:30Z</dcterms:modified>
</cp:coreProperties>
</file>