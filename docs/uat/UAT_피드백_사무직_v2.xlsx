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작성 안내" sheetId="1" state="visible" r:id="rId1"/>
    <sheet xmlns:r="http://schemas.openxmlformats.org/officeDocument/2006/relationships" name="문제 보고" sheetId="2" state="visible" r:id="rId2"/>
    <sheet xmlns:r="http://schemas.openxmlformats.org/officeDocument/2006/relationships" name="개선 제안" sheetId="3" state="visible" r:id="rId3"/>
    <sheet xmlns:r="http://schemas.openxmlformats.org/officeDocument/2006/relationships" name="집계"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color rgb="001F4E78"/>
      <sz val="14"/>
    </font>
    <font>
      <name val="Malgun Gothic"/>
      <b val="1"/>
      <color rgb="001F4E78"/>
      <sz val="11"/>
    </font>
    <font>
      <name val="Malgun Gothic"/>
      <sz val="11"/>
    </font>
    <font>
      <name val="Malgun Gothic"/>
      <b val="1"/>
      <sz val="11"/>
    </font>
    <font>
      <name val="Malgun Gothic"/>
      <b val="1"/>
      <color rgb="00FFFFFF"/>
      <sz val="11"/>
    </font>
  </fonts>
  <fills count="7">
    <fill>
      <patternFill/>
    </fill>
    <fill>
      <patternFill patternType="gray125"/>
    </fill>
    <fill>
      <patternFill patternType="solid">
        <fgColor rgb="00E2EFDA"/>
      </patternFill>
    </fill>
    <fill>
      <patternFill patternType="solid">
        <fgColor rgb="00FCE4D6"/>
      </patternFill>
    </fill>
    <fill>
      <patternFill patternType="solid">
        <fgColor rgb="00FFF2CC"/>
      </patternFill>
    </fill>
    <fill>
      <patternFill patternType="solid">
        <fgColor rgb="002E75B6"/>
      </patternFill>
    </fill>
    <fill>
      <patternFill patternType="solid">
        <fgColor rgb="004B008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3"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3" fillId="3" borderId="0" applyAlignment="1" pivotButton="0" quotePrefix="0" xfId="0">
      <alignment horizontal="left" vertical="center" wrapText="1"/>
    </xf>
    <xf numFmtId="0" fontId="3"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3" fillId="0" borderId="1" applyAlignment="1" pivotButton="0" quotePrefix="0" xfId="0">
      <alignment vertical="top" wrapText="1"/>
    </xf>
    <xf numFmtId="0" fontId="5" fillId="6"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center" vertical="center" wrapText="1"/>
    </xf>
  </cellXfs>
  <cellStyles count="1">
    <cellStyle name="Normal" xfId="0" builtinId="0" hidden="0"/>
  </cellStyles>
  <dxfs count="6">
    <dxf>
      <font>
        <name val="Malgun Gothic"/>
        <b val="1"/>
        <color rgb="009C0006"/>
        <sz val="11"/>
      </font>
      <fill>
        <patternFill patternType="solid">
          <fgColor rgb="00FFC7CE"/>
        </patternFill>
      </fill>
    </dxf>
    <dxf>
      <font>
        <name val="Malgun Gothic"/>
        <color rgb="009C5700"/>
        <sz val="11"/>
      </font>
      <fill>
        <patternFill patternType="solid">
          <fgColor rgb="00FFEB9C"/>
        </patternFill>
      </fill>
    </dxf>
    <dxf>
      <font>
        <name val="Malgun Gothic"/>
        <color rgb="00375623"/>
        <sz val="11"/>
      </font>
      <fill>
        <patternFill patternType="solid">
          <fgColor rgb="00E2EFDA"/>
        </patternFill>
      </fill>
    </dxf>
    <dxf>
      <font>
        <name val="Malgun Gothic"/>
        <b val="1"/>
        <color rgb="001F4E78"/>
        <sz val="11"/>
      </font>
      <fill>
        <patternFill patternType="solid">
          <fgColor rgb="00DDEBF7"/>
        </patternFill>
      </fill>
    </dxf>
    <dxf>
      <font>
        <name val="Malgun Gothic"/>
        <sz val="11"/>
      </font>
      <fill>
        <patternFill patternType="solid">
          <fgColor rgb="00F2F2F2"/>
        </patternFill>
      </fill>
    </dxf>
    <dxf>
      <font>
        <name val="Malgun Gothic"/>
        <color rgb="00595959"/>
        <sz val="11"/>
      </font>
      <fill>
        <patternFill patternType="solid">
          <fgColor rgb="00FAFAF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95959"/>
    <outlinePr summaryBelow="1" summaryRight="1"/>
    <pageSetUpPr/>
  </sheetPr>
  <dimension ref="B1:B71"/>
  <sheetViews>
    <sheetView zoomScale="100" workbookViewId="0">
      <selection activeCell="A1" sqref="A1"/>
    </sheetView>
  </sheetViews>
  <sheetFormatPr baseColWidth="8" defaultRowHeight="15"/>
  <cols>
    <col width="4" customWidth="1" min="1" max="1"/>
    <col width="100" customWidth="1" min="2" max="2"/>
  </cols>
  <sheetData>
    <row r="1" ht="30" customHeight="1">
      <c r="B1" s="1" t="inlineStr">
        <is>
          <t>UAT 피드백 작성 안내</t>
        </is>
      </c>
    </row>
    <row r="3">
      <c r="B3" s="2" t="inlineStr">
        <is>
          <t>1. 목적</t>
        </is>
      </c>
    </row>
    <row r="4" ht="22" customHeight="1">
      <c r="B4" s="3" t="inlineStr">
        <is>
          <t>CTR HR Hub UAT(사용자 수용 테스트) 진행 중 발견하신 문제와 개선 제안을 기록하는 문서입니다.</t>
        </is>
      </c>
    </row>
    <row r="5" ht="22" customHeight="1">
      <c r="B5" s="3" t="inlineStr">
        <is>
          <t>본 폼에 입력하신 내용은 UAT 관리자가 매일 검토 후 개발팀에 정식 이슈로 전달합니다.</t>
        </is>
      </c>
    </row>
    <row r="7">
      <c r="B7" s="2" t="inlineStr">
        <is>
          <t>2. 시트 구성</t>
        </is>
      </c>
    </row>
    <row r="8" ht="22" customHeight="1">
      <c r="B8" s="4" t="inlineStr">
        <is>
          <t>• 문제 보고 — 오류, 비정상 동작, 잘못된 결과 등을 보고합니다.</t>
        </is>
      </c>
    </row>
    <row r="9" ht="22" customHeight="1">
      <c r="B9" s="4" t="inlineStr">
        <is>
          <t>• 개선 제안 — 신규 기능, 사용성 개선, 편의 기능 등을 제안합니다.</t>
        </is>
      </c>
    </row>
    <row r="10" ht="22" customHeight="1">
      <c r="B10" s="4" t="inlineStr">
        <is>
          <t>• 집계 — UAT 관리자 전용입니다. 작성자는 입력하실 필요 없습니다.</t>
        </is>
      </c>
    </row>
    <row r="12">
      <c r="B12" s="2" t="inlineStr">
        <is>
          <t>3. 컬럼 작성 방법</t>
        </is>
      </c>
    </row>
    <row r="13" ht="32" customHeight="1">
      <c r="B13" s="3" t="inlineStr">
        <is>
          <t>• 작성자: 본인 성함을 입력합니다.</t>
        </is>
      </c>
    </row>
    <row r="14" ht="32" customHeight="1">
      <c r="B14" s="3" t="inlineStr">
        <is>
          <t>• 일자: 발견·작성 날짜 (YYYY-MM-DD).</t>
        </is>
      </c>
    </row>
    <row r="15" ht="32" customHeight="1">
      <c r="B15" s="3" t="inlineStr">
        <is>
          <t>• 화면: 드롭다운에서 해당 화면을 선택합니다. 정확한 화면 명칭이 없으면 "기타"를 선택하고 비고에 보충 설명을 적어주세요.</t>
        </is>
      </c>
    </row>
    <row r="16" ht="32" customHeight="1">
      <c r="B16" s="3" t="inlineStr">
        <is>
          <t>• 발생 현상 / 현재 아쉬운 점: 관찰된 사실을 구체적으로 기술합니다. 입력값, 클릭한 버튼, 표시된 결과 등을 시간 순서대로 적습니다.</t>
        </is>
      </c>
    </row>
    <row r="17" ht="32" customHeight="1">
      <c r="B17" s="3" t="inlineStr">
        <is>
          <t>• 기대 결과 / 제안 사항: 시스템이 어떻게 동작해야 하는지, 또는 어떤 기능이 추가되어야 하는지를 기술합니다.</t>
        </is>
      </c>
    </row>
    <row r="18" ht="32" customHeight="1">
      <c r="B18" s="3" t="inlineStr">
        <is>
          <t>• 심각도 / 우선순위: 드롭다운에서 한 가지를 선택합니다. 분류가 어려운 경우 보수적으로(높은 등급 쪽) 선택해주세요.</t>
        </is>
      </c>
    </row>
    <row r="19" ht="32" customHeight="1">
      <c r="B19" s="3" t="inlineStr">
        <is>
          <t>• 스크린샷: 권장 사항입니다. 화면 깨짐·오류 메시지 등 시각 정보가 도움 되는 경우 PrintScreen 후 셀에 붙여넣기(Ctrl+V) 합니다. 개인정보·민감정보는 마스킹해주세요.</t>
        </is>
      </c>
    </row>
    <row r="21">
      <c r="B21" s="2" t="inlineStr">
        <is>
          <t>4. 심각도·우선순위 정의</t>
        </is>
      </c>
    </row>
    <row r="22" ht="22" customHeight="1">
      <c r="B22" s="5" t="inlineStr">
        <is>
          <t>심각도 (문제 보고)</t>
        </is>
      </c>
    </row>
    <row r="23" ht="22" customHeight="1">
      <c r="B23" s="3" t="inlineStr">
        <is>
          <t xml:space="preserve">  · 심각 — 업무 진행 불가: 시스템이 정상 작동하지 않아 해당 업무를 수행할 수 없는 상태</t>
        </is>
      </c>
    </row>
    <row r="24" ht="22" customHeight="1">
      <c r="B24" s="3" t="inlineStr">
        <is>
          <t xml:space="preserve">  · 중요 — 우회 가능: 비정상 동작이 있으나 다른 방법으로는 업무 수행이 가능한 상태</t>
        </is>
      </c>
    </row>
    <row r="25" ht="22" customHeight="1">
      <c r="B25" s="3" t="inlineStr">
        <is>
          <t xml:space="preserve">  · 경미 — 사소한 표시 오류: UI 표시 오류, 오타, 정렬 불량 등 업무에 지장이 없는 사항</t>
        </is>
      </c>
    </row>
    <row r="26" ht="8" customHeight="1"/>
    <row r="27" ht="22" customHeight="1">
      <c r="B27" s="5" t="inlineStr">
        <is>
          <t>우선순위 (개선 제안)</t>
        </is>
      </c>
    </row>
    <row r="28" ht="22" customHeight="1">
      <c r="B28" s="3" t="inlineStr">
        <is>
          <t xml:space="preserve">  · 높음 — 매일 활용 예상: 도입 시 일상 업무에서 매일 사용할 것으로 예상되는 기능</t>
        </is>
      </c>
    </row>
    <row r="29" ht="22" customHeight="1">
      <c r="B29" s="3" t="inlineStr">
        <is>
          <t xml:space="preserve">  · 중간 — 주 1~2회 활용: 주기적으로 사용하는 기능 (주 1~2회 수준)</t>
        </is>
      </c>
    </row>
    <row r="30" ht="22" customHeight="1">
      <c r="B30" s="3" t="inlineStr">
        <is>
          <t xml:space="preserve">  · 낮음 — 가끔 활용: 특정 시점·이벤트에만 사용하는 기능</t>
        </is>
      </c>
    </row>
    <row r="32">
      <c r="B32" s="2" t="inlineStr">
        <is>
          <t>5. 작성 예시 (권장)</t>
        </is>
      </c>
    </row>
    <row r="33" ht="22" customHeight="1">
      <c r="B33" s="6" t="inlineStr">
        <is>
          <t>[문제 보고 예시]</t>
        </is>
      </c>
    </row>
    <row r="34" ht="22" customHeight="1">
      <c r="B34" s="6" t="inlineStr">
        <is>
          <t xml:space="preserve">  화면: 휴가 신청·조회</t>
        </is>
      </c>
    </row>
    <row r="35" ht="22" customHeight="1">
      <c r="B35" s="6" t="inlineStr">
        <is>
          <t xml:space="preserve">  발생 현상: 2026-05-25 09:00~13:00 오전 반차를 신청하고 매니저 승인을 완료했으나, 잔여 연차가 1일 차감되었습니다.</t>
        </is>
      </c>
    </row>
    <row r="36" ht="22" customHeight="1">
      <c r="B36" s="6" t="inlineStr">
        <is>
          <t xml:space="preserve">  기대 결과: 반차이므로 0.5일만 차감되어야 합니다. 잔여 연차 표시는 14.5일이 되어야 합니다.</t>
        </is>
      </c>
    </row>
    <row r="37" ht="22" customHeight="1">
      <c r="B37" s="6" t="inlineStr">
        <is>
          <t xml:space="preserve">  심각도: 중요 — 우회 가능 (수동으로 잔액 조정 가능)</t>
        </is>
      </c>
    </row>
    <row r="38" ht="22" customHeight="1">
      <c r="B38" s="3" t="inlineStr"/>
    </row>
    <row r="39" ht="22" customHeight="1">
      <c r="B39" s="6" t="inlineStr">
        <is>
          <t>[개선 제안 예시]</t>
        </is>
      </c>
    </row>
    <row r="40" ht="22" customHeight="1">
      <c r="B40" s="6" t="inlineStr">
        <is>
          <t xml:space="preserve">  화면: 휴가 신청·조회</t>
        </is>
      </c>
    </row>
    <row r="41" ht="22" customHeight="1">
      <c r="B41" s="6" t="inlineStr">
        <is>
          <t xml:space="preserve">  현재 아쉬운 점: 휴가 신청 후 결재 진행 상태(현재 어느 단계, 누가 결재 대기 중)가 상세 페이지에 들어가야만 확인 가능합니다.</t>
        </is>
      </c>
    </row>
    <row r="42" ht="22" customHeight="1">
      <c r="B42" s="6" t="inlineStr">
        <is>
          <t xml:space="preserve">  제안 사항: 신청 목록 화면에 결재자 성명과 진행 단계(예: 1차 승인 완료, 최종 승인 대기)를 함께 표시합니다.</t>
        </is>
      </c>
    </row>
    <row r="43" ht="22" customHeight="1">
      <c r="B43" s="6" t="inlineStr">
        <is>
          <t xml:space="preserve">  우선순위: 높음 — 매일 활용 예상</t>
        </is>
      </c>
    </row>
    <row r="45">
      <c r="B45" s="2" t="inlineStr">
        <is>
          <t>6. 피해야 할 작성 (재현 불가)</t>
        </is>
      </c>
    </row>
    <row r="46" ht="22" customHeight="1">
      <c r="B46" s="3" t="inlineStr">
        <is>
          <t>아래는 정보 부족으로 개발팀이 재현·수정할 수 없는 작성 예입니다:</t>
        </is>
      </c>
    </row>
    <row r="47" ht="22" customHeight="1">
      <c r="B47" s="3" t="inlineStr"/>
    </row>
    <row r="48" ht="22" customHeight="1">
      <c r="B48" s="7" t="inlineStr">
        <is>
          <t xml:space="preserve">  ✗ 발생 현상: "휴가가 이상합니다."</t>
        </is>
      </c>
    </row>
    <row r="49" ht="22" customHeight="1">
      <c r="B49" s="7" t="inlineStr">
        <is>
          <t xml:space="preserve">  ✗ 기대 결과: "정상적으로 작동하면 좋겠습니다."</t>
        </is>
      </c>
    </row>
    <row r="50" ht="22" customHeight="1">
      <c r="B50" s="3" t="inlineStr">
        <is>
          <t xml:space="preserve">   → 어느 화면에서 어떤 동작이 어떻게 잘못되었는지 불명확합니다.</t>
        </is>
      </c>
    </row>
    <row r="51" ht="22" customHeight="1">
      <c r="B51" s="3" t="inlineStr"/>
    </row>
    <row r="52" ht="22" customHeight="1">
      <c r="B52" s="7" t="inlineStr">
        <is>
          <t xml:space="preserve">  ✗ 발생 현상: "느립니다."</t>
        </is>
      </c>
    </row>
    <row r="53" ht="22" customHeight="1">
      <c r="B53" s="3" t="inlineStr">
        <is>
          <t xml:space="preserve">   → "느리다"의 기준(N초), 어떤 액션, 어떤 조건인지 불명확합니다. "5건 조회 시 약 10초 대기" 식으로 정량 정보를 포함해주세요.</t>
        </is>
      </c>
    </row>
    <row r="55">
      <c r="B55" s="2" t="inlineStr">
        <is>
          <t>7. 자주 묻는 질문</t>
        </is>
      </c>
    </row>
    <row r="56" ht="22" customHeight="1">
      <c r="B56" s="5" t="inlineStr">
        <is>
          <t>Q. 한 건당 어느 정도의 분량으로 작성해야 합니까?</t>
        </is>
      </c>
    </row>
    <row r="57" ht="26" customHeight="1">
      <c r="B57" s="3" t="inlineStr">
        <is>
          <t>A. 3~5줄이면 충분합니다. 화면명, 발생 현상, 기대 결과만 명확하면 됩니다.</t>
        </is>
      </c>
    </row>
    <row r="59" ht="22" customHeight="1">
      <c r="B59" s="5" t="inlineStr">
        <is>
          <t>Q. 동일한 문제를 여러 번 발견했습니다.</t>
        </is>
      </c>
    </row>
    <row r="60" ht="26" customHeight="1">
      <c r="B60" s="3" t="inlineStr">
        <is>
          <t>A. 같은 사용자가 동일 건을 반복 입력할 필요는 없습니다. 비고 컬럼에 발생 횟수를 추가 기재해주세요.</t>
        </is>
      </c>
    </row>
    <row r="62" ht="22" customHeight="1">
      <c r="B62" s="5" t="inlineStr">
        <is>
          <t>Q. 다른 사용자가 이미 보고한 것으로 보입니다.</t>
        </is>
      </c>
    </row>
    <row r="63" ht="26" customHeight="1">
      <c r="B63" s="3" t="inlineStr">
        <is>
          <t>A. 중복으로 보이더라도 별도 행으로 입력해주세요. UAT 관리자가 통합 처리합니다. 동일 건이 다수 보고되면 우선순위가 상승합니다.</t>
        </is>
      </c>
    </row>
    <row r="65" ht="22" customHeight="1">
      <c r="B65" s="5" t="inlineStr">
        <is>
          <t>Q. 문제인지 개선인지 판단하기 어렵습니다.</t>
        </is>
      </c>
    </row>
    <row r="66" ht="26" customHeight="1">
      <c r="B66" s="3" t="inlineStr">
        <is>
          <t>A. 시스템이 의도대로 동작했으나 불편한 경우 → 개선 제안. 시스템이 의도와 다르게 동작한 경우 → 문제 보고.</t>
        </is>
      </c>
    </row>
    <row r="68" ht="22" customHeight="1">
      <c r="B68" s="5" t="inlineStr">
        <is>
          <t>Q. 스크린샷에 개인정보가 포함되어 있습니다.</t>
        </is>
      </c>
    </row>
    <row r="69" ht="26" customHeight="1">
      <c r="B69" s="3" t="inlineStr">
        <is>
          <t>A. 주민번호, 급여, 평가 등급 등 민감정보는 사각형 등으로 마스킹 후 첨부해주세요.</t>
        </is>
      </c>
    </row>
    <row r="71" ht="40" customHeight="1">
      <c r="B71" s="8" t="inlineStr">
        <is>
          <t>문의 사항은 UAT 관리자에게 직접 연락해주십시오. 작성 형식이 완벽하지 않아도 무방합니다. 관찰하신 사실을 그대로 기록해주시는 것이 가장 중요합니다.</t>
        </is>
      </c>
    </row>
  </sheetData>
  <pageMargins left="0.75" right="0.75" top="1" bottom="1" header="0.5" footer="0.5"/>
</worksheet>
</file>

<file path=xl/worksheets/sheet2.xml><?xml version="1.0" encoding="utf-8"?>
<worksheet xmlns="http://schemas.openxmlformats.org/spreadsheetml/2006/main">
  <sheetPr>
    <tabColor rgb="00A52A2A"/>
    <outlinePr summaryBelow="1" summaryRight="1"/>
    <pageSetUpPr/>
  </sheetPr>
  <dimension ref="A1:G51"/>
  <sheetViews>
    <sheetView zoomScale="100"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50" customWidth="1" min="4" max="4"/>
    <col width="40" customWidth="1" min="5" max="5"/>
    <col width="26" customWidth="1" min="6" max="6"/>
    <col width="22" customWidth="1" min="7" max="7"/>
  </cols>
  <sheetData>
    <row r="1" ht="32" customHeight="1">
      <c r="A1" s="9" t="inlineStr">
        <is>
          <t>작성자</t>
        </is>
      </c>
      <c r="B1" s="9" t="inlineStr">
        <is>
          <t>발견 일자</t>
        </is>
      </c>
      <c r="C1" s="9" t="inlineStr">
        <is>
          <t>발생 화면</t>
        </is>
      </c>
      <c r="D1" s="9" t="inlineStr">
        <is>
          <t>발생 현상</t>
        </is>
      </c>
      <c r="E1" s="9" t="inlineStr">
        <is>
          <t>기대 결과</t>
        </is>
      </c>
      <c r="F1" s="9" t="inlineStr">
        <is>
          <t>심각도</t>
        </is>
      </c>
      <c r="G1" s="9" t="inlineStr">
        <is>
          <t>스크린샷 (권장)</t>
        </is>
      </c>
    </row>
    <row r="2" ht="60" customHeight="1">
      <c r="A2" s="10" t="n"/>
      <c r="B2" s="10" t="n"/>
      <c r="C2" s="10" t="n"/>
      <c r="D2" s="10" t="n"/>
      <c r="E2" s="10" t="n"/>
      <c r="F2" s="10" t="n"/>
      <c r="G2" s="10" t="n"/>
    </row>
    <row r="3" ht="60" customHeight="1">
      <c r="A3" s="10" t="n"/>
      <c r="B3" s="10" t="n"/>
      <c r="C3" s="10" t="n"/>
      <c r="D3" s="10" t="n"/>
      <c r="E3" s="10" t="n"/>
      <c r="F3" s="10" t="n"/>
      <c r="G3" s="10" t="n"/>
    </row>
    <row r="4" ht="60" customHeight="1">
      <c r="A4" s="10" t="n"/>
      <c r="B4" s="10" t="n"/>
      <c r="C4" s="10" t="n"/>
      <c r="D4" s="10" t="n"/>
      <c r="E4" s="10" t="n"/>
      <c r="F4" s="10" t="n"/>
      <c r="G4" s="10" t="n"/>
    </row>
    <row r="5" ht="60" customHeight="1">
      <c r="A5" s="10" t="n"/>
      <c r="B5" s="10" t="n"/>
      <c r="C5" s="10" t="n"/>
      <c r="D5" s="10" t="n"/>
      <c r="E5" s="10" t="n"/>
      <c r="F5" s="10" t="n"/>
      <c r="G5" s="10" t="n"/>
    </row>
    <row r="6" ht="60" customHeight="1">
      <c r="A6" s="10" t="n"/>
      <c r="B6" s="10" t="n"/>
      <c r="C6" s="10" t="n"/>
      <c r="D6" s="10" t="n"/>
      <c r="E6" s="10" t="n"/>
      <c r="F6" s="10" t="n"/>
      <c r="G6" s="10" t="n"/>
    </row>
    <row r="7" ht="60" customHeight="1">
      <c r="A7" s="10" t="n"/>
      <c r="B7" s="10" t="n"/>
      <c r="C7" s="10" t="n"/>
      <c r="D7" s="10" t="n"/>
      <c r="E7" s="10" t="n"/>
      <c r="F7" s="10" t="n"/>
      <c r="G7" s="10" t="n"/>
    </row>
    <row r="8" ht="60" customHeight="1">
      <c r="A8" s="10" t="n"/>
      <c r="B8" s="10" t="n"/>
      <c r="C8" s="10" t="n"/>
      <c r="D8" s="10" t="n"/>
      <c r="E8" s="10" t="n"/>
      <c r="F8" s="10" t="n"/>
      <c r="G8" s="10" t="n"/>
    </row>
    <row r="9" ht="60" customHeight="1">
      <c r="A9" s="10" t="n"/>
      <c r="B9" s="10" t="n"/>
      <c r="C9" s="10" t="n"/>
      <c r="D9" s="10" t="n"/>
      <c r="E9" s="10" t="n"/>
      <c r="F9" s="10" t="n"/>
      <c r="G9" s="10" t="n"/>
    </row>
    <row r="10" ht="60" customHeight="1">
      <c r="A10" s="10" t="n"/>
      <c r="B10" s="10" t="n"/>
      <c r="C10" s="10" t="n"/>
      <c r="D10" s="10" t="n"/>
      <c r="E10" s="10" t="n"/>
      <c r="F10" s="10" t="n"/>
      <c r="G10" s="10" t="n"/>
    </row>
    <row r="11" ht="60" customHeight="1">
      <c r="A11" s="10" t="n"/>
      <c r="B11" s="10" t="n"/>
      <c r="C11" s="10" t="n"/>
      <c r="D11" s="10" t="n"/>
      <c r="E11" s="10" t="n"/>
      <c r="F11" s="10" t="n"/>
      <c r="G11" s="10" t="n"/>
    </row>
    <row r="12" ht="60" customHeight="1">
      <c r="A12" s="10" t="n"/>
      <c r="B12" s="10" t="n"/>
      <c r="C12" s="10" t="n"/>
      <c r="D12" s="10" t="n"/>
      <c r="E12" s="10" t="n"/>
      <c r="F12" s="10" t="n"/>
      <c r="G12" s="10" t="n"/>
    </row>
    <row r="13" ht="60" customHeight="1">
      <c r="A13" s="10" t="n"/>
      <c r="B13" s="10" t="n"/>
      <c r="C13" s="10" t="n"/>
      <c r="D13" s="10" t="n"/>
      <c r="E13" s="10" t="n"/>
      <c r="F13" s="10" t="n"/>
      <c r="G13" s="10" t="n"/>
    </row>
    <row r="14" ht="60" customHeight="1">
      <c r="A14" s="10" t="n"/>
      <c r="B14" s="10" t="n"/>
      <c r="C14" s="10" t="n"/>
      <c r="D14" s="10" t="n"/>
      <c r="E14" s="10" t="n"/>
      <c r="F14" s="10" t="n"/>
      <c r="G14" s="10" t="n"/>
    </row>
    <row r="15" ht="60" customHeight="1">
      <c r="A15" s="10" t="n"/>
      <c r="B15" s="10" t="n"/>
      <c r="C15" s="10" t="n"/>
      <c r="D15" s="10" t="n"/>
      <c r="E15" s="10" t="n"/>
      <c r="F15" s="10" t="n"/>
      <c r="G15" s="10" t="n"/>
    </row>
    <row r="16" ht="60" customHeight="1">
      <c r="A16" s="10" t="n"/>
      <c r="B16" s="10" t="n"/>
      <c r="C16" s="10" t="n"/>
      <c r="D16" s="10" t="n"/>
      <c r="E16" s="10" t="n"/>
      <c r="F16" s="10" t="n"/>
      <c r="G16" s="10" t="n"/>
    </row>
    <row r="17" ht="60" customHeight="1">
      <c r="A17" s="10" t="n"/>
      <c r="B17" s="10" t="n"/>
      <c r="C17" s="10" t="n"/>
      <c r="D17" s="10" t="n"/>
      <c r="E17" s="10" t="n"/>
      <c r="F17" s="10" t="n"/>
      <c r="G17" s="10" t="n"/>
    </row>
    <row r="18" ht="60" customHeight="1">
      <c r="A18" s="10" t="n"/>
      <c r="B18" s="10" t="n"/>
      <c r="C18" s="10" t="n"/>
      <c r="D18" s="10" t="n"/>
      <c r="E18" s="10" t="n"/>
      <c r="F18" s="10" t="n"/>
      <c r="G18" s="10" t="n"/>
    </row>
    <row r="19" ht="60" customHeight="1">
      <c r="A19" s="10" t="n"/>
      <c r="B19" s="10" t="n"/>
      <c r="C19" s="10" t="n"/>
      <c r="D19" s="10" t="n"/>
      <c r="E19" s="10" t="n"/>
      <c r="F19" s="10" t="n"/>
      <c r="G19" s="10" t="n"/>
    </row>
    <row r="20" ht="60" customHeight="1">
      <c r="A20" s="10" t="n"/>
      <c r="B20" s="10" t="n"/>
      <c r="C20" s="10" t="n"/>
      <c r="D20" s="10" t="n"/>
      <c r="E20" s="10" t="n"/>
      <c r="F20" s="10" t="n"/>
      <c r="G20" s="10" t="n"/>
    </row>
    <row r="21" ht="60" customHeight="1">
      <c r="A21" s="10" t="n"/>
      <c r="B21" s="10" t="n"/>
      <c r="C21" s="10" t="n"/>
      <c r="D21" s="10" t="n"/>
      <c r="E21" s="10" t="n"/>
      <c r="F21" s="10" t="n"/>
      <c r="G21" s="10" t="n"/>
    </row>
    <row r="22" ht="60" customHeight="1">
      <c r="A22" s="10" t="n"/>
      <c r="B22" s="10" t="n"/>
      <c r="C22" s="10" t="n"/>
      <c r="D22" s="10" t="n"/>
      <c r="E22" s="10" t="n"/>
      <c r="F22" s="10" t="n"/>
      <c r="G22" s="10" t="n"/>
    </row>
    <row r="23" ht="60" customHeight="1">
      <c r="A23" s="10" t="n"/>
      <c r="B23" s="10" t="n"/>
      <c r="C23" s="10" t="n"/>
      <c r="D23" s="10" t="n"/>
      <c r="E23" s="10" t="n"/>
      <c r="F23" s="10" t="n"/>
      <c r="G23" s="10" t="n"/>
    </row>
    <row r="24" ht="60" customHeight="1">
      <c r="A24" s="10" t="n"/>
      <c r="B24" s="10" t="n"/>
      <c r="C24" s="10" t="n"/>
      <c r="D24" s="10" t="n"/>
      <c r="E24" s="10" t="n"/>
      <c r="F24" s="10" t="n"/>
      <c r="G24" s="10" t="n"/>
    </row>
    <row r="25" ht="60" customHeight="1">
      <c r="A25" s="10" t="n"/>
      <c r="B25" s="10" t="n"/>
      <c r="C25" s="10" t="n"/>
      <c r="D25" s="10" t="n"/>
      <c r="E25" s="10" t="n"/>
      <c r="F25" s="10" t="n"/>
      <c r="G25" s="10" t="n"/>
    </row>
    <row r="26" ht="60" customHeight="1">
      <c r="A26" s="10" t="n"/>
      <c r="B26" s="10" t="n"/>
      <c r="C26" s="10" t="n"/>
      <c r="D26" s="10" t="n"/>
      <c r="E26" s="10" t="n"/>
      <c r="F26" s="10" t="n"/>
      <c r="G26" s="10" t="n"/>
    </row>
    <row r="27" ht="60" customHeight="1">
      <c r="A27" s="10" t="n"/>
      <c r="B27" s="10" t="n"/>
      <c r="C27" s="10" t="n"/>
      <c r="D27" s="10" t="n"/>
      <c r="E27" s="10" t="n"/>
      <c r="F27" s="10" t="n"/>
      <c r="G27" s="10" t="n"/>
    </row>
    <row r="28" ht="60" customHeight="1">
      <c r="A28" s="10" t="n"/>
      <c r="B28" s="10" t="n"/>
      <c r="C28" s="10" t="n"/>
      <c r="D28" s="10" t="n"/>
      <c r="E28" s="10" t="n"/>
      <c r="F28" s="10" t="n"/>
      <c r="G28" s="10" t="n"/>
    </row>
    <row r="29" ht="60" customHeight="1">
      <c r="A29" s="10" t="n"/>
      <c r="B29" s="10" t="n"/>
      <c r="C29" s="10" t="n"/>
      <c r="D29" s="10" t="n"/>
      <c r="E29" s="10" t="n"/>
      <c r="F29" s="10" t="n"/>
      <c r="G29" s="10" t="n"/>
    </row>
    <row r="30" ht="60" customHeight="1">
      <c r="A30" s="10" t="n"/>
      <c r="B30" s="10" t="n"/>
      <c r="C30" s="10" t="n"/>
      <c r="D30" s="10" t="n"/>
      <c r="E30" s="10" t="n"/>
      <c r="F30" s="10" t="n"/>
      <c r="G30" s="10" t="n"/>
    </row>
    <row r="31" ht="60" customHeight="1">
      <c r="A31" s="10" t="n"/>
      <c r="B31" s="10" t="n"/>
      <c r="C31" s="10" t="n"/>
      <c r="D31" s="10" t="n"/>
      <c r="E31" s="10" t="n"/>
      <c r="F31" s="10" t="n"/>
      <c r="G31" s="10" t="n"/>
    </row>
    <row r="32" ht="60" customHeight="1">
      <c r="A32" s="10" t="n"/>
      <c r="B32" s="10" t="n"/>
      <c r="C32" s="10" t="n"/>
      <c r="D32" s="10" t="n"/>
      <c r="E32" s="10" t="n"/>
      <c r="F32" s="10" t="n"/>
      <c r="G32" s="10" t="n"/>
    </row>
    <row r="33" ht="60" customHeight="1">
      <c r="A33" s="10" t="n"/>
      <c r="B33" s="10" t="n"/>
      <c r="C33" s="10" t="n"/>
      <c r="D33" s="10" t="n"/>
      <c r="E33" s="10" t="n"/>
      <c r="F33" s="10" t="n"/>
      <c r="G33" s="10" t="n"/>
    </row>
    <row r="34" ht="60" customHeight="1">
      <c r="A34" s="10" t="n"/>
      <c r="B34" s="10" t="n"/>
      <c r="C34" s="10" t="n"/>
      <c r="D34" s="10" t="n"/>
      <c r="E34" s="10" t="n"/>
      <c r="F34" s="10" t="n"/>
      <c r="G34" s="10" t="n"/>
    </row>
    <row r="35" ht="60" customHeight="1">
      <c r="A35" s="10" t="n"/>
      <c r="B35" s="10" t="n"/>
      <c r="C35" s="10" t="n"/>
      <c r="D35" s="10" t="n"/>
      <c r="E35" s="10" t="n"/>
      <c r="F35" s="10" t="n"/>
      <c r="G35" s="10" t="n"/>
    </row>
    <row r="36" ht="60" customHeight="1">
      <c r="A36" s="10" t="n"/>
      <c r="B36" s="10" t="n"/>
      <c r="C36" s="10" t="n"/>
      <c r="D36" s="10" t="n"/>
      <c r="E36" s="10" t="n"/>
      <c r="F36" s="10" t="n"/>
      <c r="G36" s="10" t="n"/>
    </row>
    <row r="37" ht="60" customHeight="1">
      <c r="A37" s="10" t="n"/>
      <c r="B37" s="10" t="n"/>
      <c r="C37" s="10" t="n"/>
      <c r="D37" s="10" t="n"/>
      <c r="E37" s="10" t="n"/>
      <c r="F37" s="10" t="n"/>
      <c r="G37" s="10" t="n"/>
    </row>
    <row r="38" ht="60" customHeight="1">
      <c r="A38" s="10" t="n"/>
      <c r="B38" s="10" t="n"/>
      <c r="C38" s="10" t="n"/>
      <c r="D38" s="10" t="n"/>
      <c r="E38" s="10" t="n"/>
      <c r="F38" s="10" t="n"/>
      <c r="G38" s="10" t="n"/>
    </row>
    <row r="39" ht="60" customHeight="1">
      <c r="A39" s="10" t="n"/>
      <c r="B39" s="10" t="n"/>
      <c r="C39" s="10" t="n"/>
      <c r="D39" s="10" t="n"/>
      <c r="E39" s="10" t="n"/>
      <c r="F39" s="10" t="n"/>
      <c r="G39" s="10" t="n"/>
    </row>
    <row r="40" ht="60" customHeight="1">
      <c r="A40" s="10" t="n"/>
      <c r="B40" s="10" t="n"/>
      <c r="C40" s="10" t="n"/>
      <c r="D40" s="10" t="n"/>
      <c r="E40" s="10" t="n"/>
      <c r="F40" s="10" t="n"/>
      <c r="G40" s="10" t="n"/>
    </row>
    <row r="41" ht="60" customHeight="1">
      <c r="A41" s="10" t="n"/>
      <c r="B41" s="10" t="n"/>
      <c r="C41" s="10" t="n"/>
      <c r="D41" s="10" t="n"/>
      <c r="E41" s="10" t="n"/>
      <c r="F41" s="10" t="n"/>
      <c r="G41" s="10" t="n"/>
    </row>
    <row r="42" ht="60" customHeight="1">
      <c r="A42" s="10" t="n"/>
      <c r="B42" s="10" t="n"/>
      <c r="C42" s="10" t="n"/>
      <c r="D42" s="10" t="n"/>
      <c r="E42" s="10" t="n"/>
      <c r="F42" s="10" t="n"/>
      <c r="G42" s="10" t="n"/>
    </row>
    <row r="43" ht="60" customHeight="1">
      <c r="A43" s="10" t="n"/>
      <c r="B43" s="10" t="n"/>
      <c r="C43" s="10" t="n"/>
      <c r="D43" s="10" t="n"/>
      <c r="E43" s="10" t="n"/>
      <c r="F43" s="10" t="n"/>
      <c r="G43" s="10" t="n"/>
    </row>
    <row r="44" ht="60" customHeight="1">
      <c r="A44" s="10" t="n"/>
      <c r="B44" s="10" t="n"/>
      <c r="C44" s="10" t="n"/>
      <c r="D44" s="10" t="n"/>
      <c r="E44" s="10" t="n"/>
      <c r="F44" s="10" t="n"/>
      <c r="G44" s="10" t="n"/>
    </row>
    <row r="45" ht="60" customHeight="1">
      <c r="A45" s="10" t="n"/>
      <c r="B45" s="10" t="n"/>
      <c r="C45" s="10" t="n"/>
      <c r="D45" s="10" t="n"/>
      <c r="E45" s="10" t="n"/>
      <c r="F45" s="10" t="n"/>
      <c r="G45" s="10" t="n"/>
    </row>
    <row r="46" ht="60" customHeight="1">
      <c r="A46" s="10" t="n"/>
      <c r="B46" s="10" t="n"/>
      <c r="C46" s="10" t="n"/>
      <c r="D46" s="10" t="n"/>
      <c r="E46" s="10" t="n"/>
      <c r="F46" s="10" t="n"/>
      <c r="G46" s="10" t="n"/>
    </row>
    <row r="47" ht="60" customHeight="1">
      <c r="A47" s="10" t="n"/>
      <c r="B47" s="10" t="n"/>
      <c r="C47" s="10" t="n"/>
      <c r="D47" s="10" t="n"/>
      <c r="E47" s="10" t="n"/>
      <c r="F47" s="10" t="n"/>
      <c r="G47" s="10" t="n"/>
    </row>
    <row r="48" ht="60" customHeight="1">
      <c r="A48" s="10" t="n"/>
      <c r="B48" s="10" t="n"/>
      <c r="C48" s="10" t="n"/>
      <c r="D48" s="10" t="n"/>
      <c r="E48" s="10" t="n"/>
      <c r="F48" s="10" t="n"/>
      <c r="G48" s="10" t="n"/>
    </row>
    <row r="49" ht="60" customHeight="1">
      <c r="A49" s="10" t="n"/>
      <c r="B49" s="10" t="n"/>
      <c r="C49" s="10" t="n"/>
      <c r="D49" s="10" t="n"/>
      <c r="E49" s="10" t="n"/>
      <c r="F49" s="10" t="n"/>
      <c r="G49" s="10" t="n"/>
    </row>
    <row r="50" ht="60" customHeight="1">
      <c r="A50" s="10" t="n"/>
      <c r="B50" s="10" t="n"/>
      <c r="C50" s="10" t="n"/>
      <c r="D50" s="10" t="n"/>
      <c r="E50" s="10" t="n"/>
      <c r="F50" s="10" t="n"/>
      <c r="G50" s="10" t="n"/>
    </row>
    <row r="51" ht="60" customHeight="1">
      <c r="A51" s="10" t="n"/>
      <c r="B51" s="10" t="n"/>
      <c r="C51" s="10" t="n"/>
      <c r="D51" s="10" t="n"/>
      <c r="E51" s="10" t="n"/>
      <c r="F51" s="10" t="n"/>
      <c r="G51" s="10" t="n"/>
    </row>
  </sheetData>
  <conditionalFormatting sqref="F2:F51">
    <cfRule type="cellIs" priority="1" operator="equal" dxfId="0">
      <formula>"심각 — 업무 진행 불가"</formula>
    </cfRule>
    <cfRule type="cellIs" priority="2" operator="equal" dxfId="1">
      <formula>"중요 — 우회 가능"</formula>
    </cfRule>
    <cfRule type="cellIs" priority="3" operator="equal" dxfId="2">
      <formula>"경미 — 사소한 표시 오류"</formula>
    </cfRule>
  </conditionalFormatting>
  <dataValidations count="2">
    <dataValidation sqref="C2:C51" showDropDown="0" showInputMessage="0" showErrorMessage="0" allowBlank="1" type="list">
      <formula1>"홈 / 알림,나의 공간 (내 정보),휴가 신청·조회,휴직 신청·조회,출퇴근,결재함 (받은 결재),내 결재 신청 내역,급여명세서,연말 정산,내 목표·평가,분기 리뷰,인정·칭찬,리포트·통계,직원 관리 (HR),조직도·부서 관리 (HR),근태 관리 (HR),휴가 관리 (HR),급여 관리 (HR),결재 흐름 설정 (HR),채용 관리 (HR),평가 관리 (HR),보상 관리 (HR),온보딩·오프보딩 (HR),마스터데이터·설정 (HR),컴플라이언스 (HR),기타"</formula1>
    </dataValidation>
    <dataValidation sqref="F2:F51" showDropDown="0" showInputMessage="0" showErrorMessage="0" allowBlank="1" type="list">
      <formula1>"심각 — 업무 진행 불가,중요 — 우회 가능,경미 — 사소한 표시 오류"</formula1>
    </dataValidation>
  </dataValidations>
  <pageMargins left="0.75" right="0.75" top="1" bottom="1" header="0.5" footer="0.5"/>
</worksheet>
</file>

<file path=xl/worksheets/sheet3.xml><?xml version="1.0" encoding="utf-8"?>
<worksheet xmlns="http://schemas.openxmlformats.org/spreadsheetml/2006/main">
  <sheetPr>
    <tabColor rgb="00B8860B"/>
    <outlinePr summaryBelow="1" summaryRight="1"/>
    <pageSetUpPr/>
  </sheetPr>
  <dimension ref="A1:G51"/>
  <sheetViews>
    <sheetView zoomScale="100"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50" customWidth="1" min="4" max="4"/>
    <col width="40" customWidth="1" min="5" max="5"/>
    <col width="26" customWidth="1" min="6" max="6"/>
    <col width="22" customWidth="1" min="7" max="7"/>
  </cols>
  <sheetData>
    <row r="1" ht="32" customHeight="1">
      <c r="A1" s="9" t="inlineStr">
        <is>
          <t>작성자</t>
        </is>
      </c>
      <c r="B1" s="9" t="inlineStr">
        <is>
          <t>작성 일자</t>
        </is>
      </c>
      <c r="C1" s="9" t="inlineStr">
        <is>
          <t>관련 화면</t>
        </is>
      </c>
      <c r="D1" s="9" t="inlineStr">
        <is>
          <t>현재 아쉬운 점</t>
        </is>
      </c>
      <c r="E1" s="9" t="inlineStr">
        <is>
          <t>제안 사항</t>
        </is>
      </c>
      <c r="F1" s="9" t="inlineStr">
        <is>
          <t>우선순위</t>
        </is>
      </c>
      <c r="G1" s="9" t="inlineStr">
        <is>
          <t>스크린샷 (권장)</t>
        </is>
      </c>
    </row>
    <row r="2" ht="60" customHeight="1">
      <c r="A2" s="10" t="n"/>
      <c r="B2" s="10" t="n"/>
      <c r="C2" s="10" t="n"/>
      <c r="D2" s="10" t="n"/>
      <c r="E2" s="10" t="n"/>
      <c r="F2" s="10" t="n"/>
      <c r="G2" s="10" t="n"/>
    </row>
    <row r="3" ht="60" customHeight="1">
      <c r="A3" s="10" t="n"/>
      <c r="B3" s="10" t="n"/>
      <c r="C3" s="10" t="n"/>
      <c r="D3" s="10" t="n"/>
      <c r="E3" s="10" t="n"/>
      <c r="F3" s="10" t="n"/>
      <c r="G3" s="10" t="n"/>
    </row>
    <row r="4" ht="60" customHeight="1">
      <c r="A4" s="10" t="n"/>
      <c r="B4" s="10" t="n"/>
      <c r="C4" s="10" t="n"/>
      <c r="D4" s="10" t="n"/>
      <c r="E4" s="10" t="n"/>
      <c r="F4" s="10" t="n"/>
      <c r="G4" s="10" t="n"/>
    </row>
    <row r="5" ht="60" customHeight="1">
      <c r="A5" s="10" t="n"/>
      <c r="B5" s="10" t="n"/>
      <c r="C5" s="10" t="n"/>
      <c r="D5" s="10" t="n"/>
      <c r="E5" s="10" t="n"/>
      <c r="F5" s="10" t="n"/>
      <c r="G5" s="10" t="n"/>
    </row>
    <row r="6" ht="60" customHeight="1">
      <c r="A6" s="10" t="n"/>
      <c r="B6" s="10" t="n"/>
      <c r="C6" s="10" t="n"/>
      <c r="D6" s="10" t="n"/>
      <c r="E6" s="10" t="n"/>
      <c r="F6" s="10" t="n"/>
      <c r="G6" s="10" t="n"/>
    </row>
    <row r="7" ht="60" customHeight="1">
      <c r="A7" s="10" t="n"/>
      <c r="B7" s="10" t="n"/>
      <c r="C7" s="10" t="n"/>
      <c r="D7" s="10" t="n"/>
      <c r="E7" s="10" t="n"/>
      <c r="F7" s="10" t="n"/>
      <c r="G7" s="10" t="n"/>
    </row>
    <row r="8" ht="60" customHeight="1">
      <c r="A8" s="10" t="n"/>
      <c r="B8" s="10" t="n"/>
      <c r="C8" s="10" t="n"/>
      <c r="D8" s="10" t="n"/>
      <c r="E8" s="10" t="n"/>
      <c r="F8" s="10" t="n"/>
      <c r="G8" s="10" t="n"/>
    </row>
    <row r="9" ht="60" customHeight="1">
      <c r="A9" s="10" t="n"/>
      <c r="B9" s="10" t="n"/>
      <c r="C9" s="10" t="n"/>
      <c r="D9" s="10" t="n"/>
      <c r="E9" s="10" t="n"/>
      <c r="F9" s="10" t="n"/>
      <c r="G9" s="10" t="n"/>
    </row>
    <row r="10" ht="60" customHeight="1">
      <c r="A10" s="10" t="n"/>
      <c r="B10" s="10" t="n"/>
      <c r="C10" s="10" t="n"/>
      <c r="D10" s="10" t="n"/>
      <c r="E10" s="10" t="n"/>
      <c r="F10" s="10" t="n"/>
      <c r="G10" s="10" t="n"/>
    </row>
    <row r="11" ht="60" customHeight="1">
      <c r="A11" s="10" t="n"/>
      <c r="B11" s="10" t="n"/>
      <c r="C11" s="10" t="n"/>
      <c r="D11" s="10" t="n"/>
      <c r="E11" s="10" t="n"/>
      <c r="F11" s="10" t="n"/>
      <c r="G11" s="10" t="n"/>
    </row>
    <row r="12" ht="60" customHeight="1">
      <c r="A12" s="10" t="n"/>
      <c r="B12" s="10" t="n"/>
      <c r="C12" s="10" t="n"/>
      <c r="D12" s="10" t="n"/>
      <c r="E12" s="10" t="n"/>
      <c r="F12" s="10" t="n"/>
      <c r="G12" s="10" t="n"/>
    </row>
    <row r="13" ht="60" customHeight="1">
      <c r="A13" s="10" t="n"/>
      <c r="B13" s="10" t="n"/>
      <c r="C13" s="10" t="n"/>
      <c r="D13" s="10" t="n"/>
      <c r="E13" s="10" t="n"/>
      <c r="F13" s="10" t="n"/>
      <c r="G13" s="10" t="n"/>
    </row>
    <row r="14" ht="60" customHeight="1">
      <c r="A14" s="10" t="n"/>
      <c r="B14" s="10" t="n"/>
      <c r="C14" s="10" t="n"/>
      <c r="D14" s="10" t="n"/>
      <c r="E14" s="10" t="n"/>
      <c r="F14" s="10" t="n"/>
      <c r="G14" s="10" t="n"/>
    </row>
    <row r="15" ht="60" customHeight="1">
      <c r="A15" s="10" t="n"/>
      <c r="B15" s="10" t="n"/>
      <c r="C15" s="10" t="n"/>
      <c r="D15" s="10" t="n"/>
      <c r="E15" s="10" t="n"/>
      <c r="F15" s="10" t="n"/>
      <c r="G15" s="10" t="n"/>
    </row>
    <row r="16" ht="60" customHeight="1">
      <c r="A16" s="10" t="n"/>
      <c r="B16" s="10" t="n"/>
      <c r="C16" s="10" t="n"/>
      <c r="D16" s="10" t="n"/>
      <c r="E16" s="10" t="n"/>
      <c r="F16" s="10" t="n"/>
      <c r="G16" s="10" t="n"/>
    </row>
    <row r="17" ht="60" customHeight="1">
      <c r="A17" s="10" t="n"/>
      <c r="B17" s="10" t="n"/>
      <c r="C17" s="10" t="n"/>
      <c r="D17" s="10" t="n"/>
      <c r="E17" s="10" t="n"/>
      <c r="F17" s="10" t="n"/>
      <c r="G17" s="10" t="n"/>
    </row>
    <row r="18" ht="60" customHeight="1">
      <c r="A18" s="10" t="n"/>
      <c r="B18" s="10" t="n"/>
      <c r="C18" s="10" t="n"/>
      <c r="D18" s="10" t="n"/>
      <c r="E18" s="10" t="n"/>
      <c r="F18" s="10" t="n"/>
      <c r="G18" s="10" t="n"/>
    </row>
    <row r="19" ht="60" customHeight="1">
      <c r="A19" s="10" t="n"/>
      <c r="B19" s="10" t="n"/>
      <c r="C19" s="10" t="n"/>
      <c r="D19" s="10" t="n"/>
      <c r="E19" s="10" t="n"/>
      <c r="F19" s="10" t="n"/>
      <c r="G19" s="10" t="n"/>
    </row>
    <row r="20" ht="60" customHeight="1">
      <c r="A20" s="10" t="n"/>
      <c r="B20" s="10" t="n"/>
      <c r="C20" s="10" t="n"/>
      <c r="D20" s="10" t="n"/>
      <c r="E20" s="10" t="n"/>
      <c r="F20" s="10" t="n"/>
      <c r="G20" s="10" t="n"/>
    </row>
    <row r="21" ht="60" customHeight="1">
      <c r="A21" s="10" t="n"/>
      <c r="B21" s="10" t="n"/>
      <c r="C21" s="10" t="n"/>
      <c r="D21" s="10" t="n"/>
      <c r="E21" s="10" t="n"/>
      <c r="F21" s="10" t="n"/>
      <c r="G21" s="10" t="n"/>
    </row>
    <row r="22" ht="60" customHeight="1">
      <c r="A22" s="10" t="n"/>
      <c r="B22" s="10" t="n"/>
      <c r="C22" s="10" t="n"/>
      <c r="D22" s="10" t="n"/>
      <c r="E22" s="10" t="n"/>
      <c r="F22" s="10" t="n"/>
      <c r="G22" s="10" t="n"/>
    </row>
    <row r="23" ht="60" customHeight="1">
      <c r="A23" s="10" t="n"/>
      <c r="B23" s="10" t="n"/>
      <c r="C23" s="10" t="n"/>
      <c r="D23" s="10" t="n"/>
      <c r="E23" s="10" t="n"/>
      <c r="F23" s="10" t="n"/>
      <c r="G23" s="10" t="n"/>
    </row>
    <row r="24" ht="60" customHeight="1">
      <c r="A24" s="10" t="n"/>
      <c r="B24" s="10" t="n"/>
      <c r="C24" s="10" t="n"/>
      <c r="D24" s="10" t="n"/>
      <c r="E24" s="10" t="n"/>
      <c r="F24" s="10" t="n"/>
      <c r="G24" s="10" t="n"/>
    </row>
    <row r="25" ht="60" customHeight="1">
      <c r="A25" s="10" t="n"/>
      <c r="B25" s="10" t="n"/>
      <c r="C25" s="10" t="n"/>
      <c r="D25" s="10" t="n"/>
      <c r="E25" s="10" t="n"/>
      <c r="F25" s="10" t="n"/>
      <c r="G25" s="10" t="n"/>
    </row>
    <row r="26" ht="60" customHeight="1">
      <c r="A26" s="10" t="n"/>
      <c r="B26" s="10" t="n"/>
      <c r="C26" s="10" t="n"/>
      <c r="D26" s="10" t="n"/>
      <c r="E26" s="10" t="n"/>
      <c r="F26" s="10" t="n"/>
      <c r="G26" s="10" t="n"/>
    </row>
    <row r="27" ht="60" customHeight="1">
      <c r="A27" s="10" t="n"/>
      <c r="B27" s="10" t="n"/>
      <c r="C27" s="10" t="n"/>
      <c r="D27" s="10" t="n"/>
      <c r="E27" s="10" t="n"/>
      <c r="F27" s="10" t="n"/>
      <c r="G27" s="10" t="n"/>
    </row>
    <row r="28" ht="60" customHeight="1">
      <c r="A28" s="10" t="n"/>
      <c r="B28" s="10" t="n"/>
      <c r="C28" s="10" t="n"/>
      <c r="D28" s="10" t="n"/>
      <c r="E28" s="10" t="n"/>
      <c r="F28" s="10" t="n"/>
      <c r="G28" s="10" t="n"/>
    </row>
    <row r="29" ht="60" customHeight="1">
      <c r="A29" s="10" t="n"/>
      <c r="B29" s="10" t="n"/>
      <c r="C29" s="10" t="n"/>
      <c r="D29" s="10" t="n"/>
      <c r="E29" s="10" t="n"/>
      <c r="F29" s="10" t="n"/>
      <c r="G29" s="10" t="n"/>
    </row>
    <row r="30" ht="60" customHeight="1">
      <c r="A30" s="10" t="n"/>
      <c r="B30" s="10" t="n"/>
      <c r="C30" s="10" t="n"/>
      <c r="D30" s="10" t="n"/>
      <c r="E30" s="10" t="n"/>
      <c r="F30" s="10" t="n"/>
      <c r="G30" s="10" t="n"/>
    </row>
    <row r="31" ht="60" customHeight="1">
      <c r="A31" s="10" t="n"/>
      <c r="B31" s="10" t="n"/>
      <c r="C31" s="10" t="n"/>
      <c r="D31" s="10" t="n"/>
      <c r="E31" s="10" t="n"/>
      <c r="F31" s="10" t="n"/>
      <c r="G31" s="10" t="n"/>
    </row>
    <row r="32" ht="60" customHeight="1">
      <c r="A32" s="10" t="n"/>
      <c r="B32" s="10" t="n"/>
      <c r="C32" s="10" t="n"/>
      <c r="D32" s="10" t="n"/>
      <c r="E32" s="10" t="n"/>
      <c r="F32" s="10" t="n"/>
      <c r="G32" s="10" t="n"/>
    </row>
    <row r="33" ht="60" customHeight="1">
      <c r="A33" s="10" t="n"/>
      <c r="B33" s="10" t="n"/>
      <c r="C33" s="10" t="n"/>
      <c r="D33" s="10" t="n"/>
      <c r="E33" s="10" t="n"/>
      <c r="F33" s="10" t="n"/>
      <c r="G33" s="10" t="n"/>
    </row>
    <row r="34" ht="60" customHeight="1">
      <c r="A34" s="10" t="n"/>
      <c r="B34" s="10" t="n"/>
      <c r="C34" s="10" t="n"/>
      <c r="D34" s="10" t="n"/>
      <c r="E34" s="10" t="n"/>
      <c r="F34" s="10" t="n"/>
      <c r="G34" s="10" t="n"/>
    </row>
    <row r="35" ht="60" customHeight="1">
      <c r="A35" s="10" t="n"/>
      <c r="B35" s="10" t="n"/>
      <c r="C35" s="10" t="n"/>
      <c r="D35" s="10" t="n"/>
      <c r="E35" s="10" t="n"/>
      <c r="F35" s="10" t="n"/>
      <c r="G35" s="10" t="n"/>
    </row>
    <row r="36" ht="60" customHeight="1">
      <c r="A36" s="10" t="n"/>
      <c r="B36" s="10" t="n"/>
      <c r="C36" s="10" t="n"/>
      <c r="D36" s="10" t="n"/>
      <c r="E36" s="10" t="n"/>
      <c r="F36" s="10" t="n"/>
      <c r="G36" s="10" t="n"/>
    </row>
    <row r="37" ht="60" customHeight="1">
      <c r="A37" s="10" t="n"/>
      <c r="B37" s="10" t="n"/>
      <c r="C37" s="10" t="n"/>
      <c r="D37" s="10" t="n"/>
      <c r="E37" s="10" t="n"/>
      <c r="F37" s="10" t="n"/>
      <c r="G37" s="10" t="n"/>
    </row>
    <row r="38" ht="60" customHeight="1">
      <c r="A38" s="10" t="n"/>
      <c r="B38" s="10" t="n"/>
      <c r="C38" s="10" t="n"/>
      <c r="D38" s="10" t="n"/>
      <c r="E38" s="10" t="n"/>
      <c r="F38" s="10" t="n"/>
      <c r="G38" s="10" t="n"/>
    </row>
    <row r="39" ht="60" customHeight="1">
      <c r="A39" s="10" t="n"/>
      <c r="B39" s="10" t="n"/>
      <c r="C39" s="10" t="n"/>
      <c r="D39" s="10" t="n"/>
      <c r="E39" s="10" t="n"/>
      <c r="F39" s="10" t="n"/>
      <c r="G39" s="10" t="n"/>
    </row>
    <row r="40" ht="60" customHeight="1">
      <c r="A40" s="10" t="n"/>
      <c r="B40" s="10" t="n"/>
      <c r="C40" s="10" t="n"/>
      <c r="D40" s="10" t="n"/>
      <c r="E40" s="10" t="n"/>
      <c r="F40" s="10" t="n"/>
      <c r="G40" s="10" t="n"/>
    </row>
    <row r="41" ht="60" customHeight="1">
      <c r="A41" s="10" t="n"/>
      <c r="B41" s="10" t="n"/>
      <c r="C41" s="10" t="n"/>
      <c r="D41" s="10" t="n"/>
      <c r="E41" s="10" t="n"/>
      <c r="F41" s="10" t="n"/>
      <c r="G41" s="10" t="n"/>
    </row>
    <row r="42" ht="60" customHeight="1">
      <c r="A42" s="10" t="n"/>
      <c r="B42" s="10" t="n"/>
      <c r="C42" s="10" t="n"/>
      <c r="D42" s="10" t="n"/>
      <c r="E42" s="10" t="n"/>
      <c r="F42" s="10" t="n"/>
      <c r="G42" s="10" t="n"/>
    </row>
    <row r="43" ht="60" customHeight="1">
      <c r="A43" s="10" t="n"/>
      <c r="B43" s="10" t="n"/>
      <c r="C43" s="10" t="n"/>
      <c r="D43" s="10" t="n"/>
      <c r="E43" s="10" t="n"/>
      <c r="F43" s="10" t="n"/>
      <c r="G43" s="10" t="n"/>
    </row>
    <row r="44" ht="60" customHeight="1">
      <c r="A44" s="10" t="n"/>
      <c r="B44" s="10" t="n"/>
      <c r="C44" s="10" t="n"/>
      <c r="D44" s="10" t="n"/>
      <c r="E44" s="10" t="n"/>
      <c r="F44" s="10" t="n"/>
      <c r="G44" s="10" t="n"/>
    </row>
    <row r="45" ht="60" customHeight="1">
      <c r="A45" s="10" t="n"/>
      <c r="B45" s="10" t="n"/>
      <c r="C45" s="10" t="n"/>
      <c r="D45" s="10" t="n"/>
      <c r="E45" s="10" t="n"/>
      <c r="F45" s="10" t="n"/>
      <c r="G45" s="10" t="n"/>
    </row>
    <row r="46" ht="60" customHeight="1">
      <c r="A46" s="10" t="n"/>
      <c r="B46" s="10" t="n"/>
      <c r="C46" s="10" t="n"/>
      <c r="D46" s="10" t="n"/>
      <c r="E46" s="10" t="n"/>
      <c r="F46" s="10" t="n"/>
      <c r="G46" s="10" t="n"/>
    </row>
    <row r="47" ht="60" customHeight="1">
      <c r="A47" s="10" t="n"/>
      <c r="B47" s="10" t="n"/>
      <c r="C47" s="10" t="n"/>
      <c r="D47" s="10" t="n"/>
      <c r="E47" s="10" t="n"/>
      <c r="F47" s="10" t="n"/>
      <c r="G47" s="10" t="n"/>
    </row>
    <row r="48" ht="60" customHeight="1">
      <c r="A48" s="10" t="n"/>
      <c r="B48" s="10" t="n"/>
      <c r="C48" s="10" t="n"/>
      <c r="D48" s="10" t="n"/>
      <c r="E48" s="10" t="n"/>
      <c r="F48" s="10" t="n"/>
      <c r="G48" s="10" t="n"/>
    </row>
    <row r="49" ht="60" customHeight="1">
      <c r="A49" s="10" t="n"/>
      <c r="B49" s="10" t="n"/>
      <c r="C49" s="10" t="n"/>
      <c r="D49" s="10" t="n"/>
      <c r="E49" s="10" t="n"/>
      <c r="F49" s="10" t="n"/>
      <c r="G49" s="10" t="n"/>
    </row>
    <row r="50" ht="60" customHeight="1">
      <c r="A50" s="10" t="n"/>
      <c r="B50" s="10" t="n"/>
      <c r="C50" s="10" t="n"/>
      <c r="D50" s="10" t="n"/>
      <c r="E50" s="10" t="n"/>
      <c r="F50" s="10" t="n"/>
      <c r="G50" s="10" t="n"/>
    </row>
    <row r="51" ht="60" customHeight="1">
      <c r="A51" s="10" t="n"/>
      <c r="B51" s="10" t="n"/>
      <c r="C51" s="10" t="n"/>
      <c r="D51" s="10" t="n"/>
      <c r="E51" s="10" t="n"/>
      <c r="F51" s="10" t="n"/>
      <c r="G51" s="10" t="n"/>
    </row>
  </sheetData>
  <conditionalFormatting sqref="F2:F51">
    <cfRule type="cellIs" priority="1" operator="equal" dxfId="3">
      <formula>"높음 — 매일 활용 예상"</formula>
    </cfRule>
    <cfRule type="cellIs" priority="2" operator="equal" dxfId="4">
      <formula>"중간 — 주 1~2회 활용"</formula>
    </cfRule>
    <cfRule type="cellIs" priority="3" operator="equal" dxfId="5">
      <formula>"낮음 — 가끔 활용"</formula>
    </cfRule>
  </conditionalFormatting>
  <dataValidations count="2">
    <dataValidation sqref="C2:C51" showDropDown="0" showInputMessage="0" showErrorMessage="0" allowBlank="1" type="list">
      <formula1>"홈 / 알림,나의 공간 (내 정보),휴가 신청·조회,휴직 신청·조회,출퇴근,결재함 (받은 결재),내 결재 신청 내역,급여명세서,연말 정산,내 목표·평가,분기 리뷰,인정·칭찬,리포트·통계,직원 관리 (HR),조직도·부서 관리 (HR),근태 관리 (HR),휴가 관리 (HR),급여 관리 (HR),결재 흐름 설정 (HR),채용 관리 (HR),평가 관리 (HR),보상 관리 (HR),온보딩·오프보딩 (HR),마스터데이터·설정 (HR),컴플라이언스 (HR),기타"</formula1>
    </dataValidation>
    <dataValidation sqref="F2:F51" showDropDown="0" showInputMessage="0" showErrorMessage="0" allowBlank="1" type="list">
      <formula1>"높음 — 매일 활용 예상,중간 — 주 1~2회 활용,낮음 — 가끔 활용"</formula1>
    </dataValidation>
  </dataValidations>
  <pageMargins left="0.75" right="0.75" top="1" bottom="1" header="0.5" footer="0.5"/>
</worksheet>
</file>

<file path=xl/worksheets/sheet4.xml><?xml version="1.0" encoding="utf-8"?>
<worksheet xmlns="http://schemas.openxmlformats.org/spreadsheetml/2006/main">
  <sheetPr>
    <tabColor rgb="004B0082"/>
    <outlinePr summaryBelow="1" summaryRight="1"/>
    <pageSetUpPr/>
  </sheetPr>
  <dimension ref="A1:F79"/>
  <sheetViews>
    <sheetView zoomScale="10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ht="28" customHeight="1">
      <c r="A1" s="1" t="inlineStr">
        <is>
          <t>집계 (UAT 관리자 전용)</t>
        </is>
      </c>
    </row>
    <row r="2" ht="22" customHeight="1">
      <c r="A2" s="8" t="inlineStr">
        <is>
          <t>작성자께서는 본 시트를 별도로 채우지 않으셔도 됩니다. 다른 시트 입력 시 자동 집계됩니다.</t>
        </is>
      </c>
    </row>
    <row r="4">
      <c r="A4" s="2" t="inlineStr">
        <is>
          <t>1. 문제 보고 — 화면별 건수</t>
        </is>
      </c>
    </row>
    <row r="5" ht="24" customHeight="1">
      <c r="A5" s="11" t="inlineStr">
        <is>
          <t>화면</t>
        </is>
      </c>
      <c r="B5" s="11" t="inlineStr">
        <is>
          <t>심각</t>
        </is>
      </c>
      <c r="C5" s="11" t="inlineStr">
        <is>
          <t>중요</t>
        </is>
      </c>
      <c r="D5" s="11" t="inlineStr">
        <is>
          <t>경미</t>
        </is>
      </c>
      <c r="E5" s="11" t="inlineStr">
        <is>
          <t>합계</t>
        </is>
      </c>
    </row>
    <row r="6">
      <c r="A6" s="10" t="inlineStr">
        <is>
          <t>홈 / 알림</t>
        </is>
      </c>
      <c r="B6" s="10">
        <f>COUNTIFS('문제 보고'!C2:C51,A6,'문제 보고'!F2:F51,"심각 — 업무 진행 불가")</f>
        <v/>
      </c>
      <c r="C6" s="10">
        <f>COUNTIFS('문제 보고'!C2:C51,A6,'문제 보고'!F2:F51,"중요 — 우회 가능")</f>
        <v/>
      </c>
      <c r="D6" s="10">
        <f>COUNTIFS('문제 보고'!C2:C51,A6,'문제 보고'!F2:F51,"경미 — 사소한 표시 오류")</f>
        <v/>
      </c>
      <c r="E6" s="10">
        <f>SUM(B6:D6)</f>
        <v/>
      </c>
    </row>
    <row r="7">
      <c r="A7" s="10" t="inlineStr">
        <is>
          <t>나의 공간 (내 정보)</t>
        </is>
      </c>
      <c r="B7" s="10">
        <f>COUNTIFS('문제 보고'!C2:C51,A7,'문제 보고'!F2:F51,"심각 — 업무 진행 불가")</f>
        <v/>
      </c>
      <c r="C7" s="10">
        <f>COUNTIFS('문제 보고'!C2:C51,A7,'문제 보고'!F2:F51,"중요 — 우회 가능")</f>
        <v/>
      </c>
      <c r="D7" s="10">
        <f>COUNTIFS('문제 보고'!C2:C51,A7,'문제 보고'!F2:F51,"경미 — 사소한 표시 오류")</f>
        <v/>
      </c>
      <c r="E7" s="10">
        <f>SUM(B7:D7)</f>
        <v/>
      </c>
    </row>
    <row r="8">
      <c r="A8" s="10" t="inlineStr">
        <is>
          <t>휴가 신청·조회</t>
        </is>
      </c>
      <c r="B8" s="10">
        <f>COUNTIFS('문제 보고'!C2:C51,A8,'문제 보고'!F2:F51,"심각 — 업무 진행 불가")</f>
        <v/>
      </c>
      <c r="C8" s="10">
        <f>COUNTIFS('문제 보고'!C2:C51,A8,'문제 보고'!F2:F51,"중요 — 우회 가능")</f>
        <v/>
      </c>
      <c r="D8" s="10">
        <f>COUNTIFS('문제 보고'!C2:C51,A8,'문제 보고'!F2:F51,"경미 — 사소한 표시 오류")</f>
        <v/>
      </c>
      <c r="E8" s="10">
        <f>SUM(B8:D8)</f>
        <v/>
      </c>
    </row>
    <row r="9">
      <c r="A9" s="10" t="inlineStr">
        <is>
          <t>휴직 신청·조회</t>
        </is>
      </c>
      <c r="B9" s="10">
        <f>COUNTIFS('문제 보고'!C2:C51,A9,'문제 보고'!F2:F51,"심각 — 업무 진행 불가")</f>
        <v/>
      </c>
      <c r="C9" s="10">
        <f>COUNTIFS('문제 보고'!C2:C51,A9,'문제 보고'!F2:F51,"중요 — 우회 가능")</f>
        <v/>
      </c>
      <c r="D9" s="10">
        <f>COUNTIFS('문제 보고'!C2:C51,A9,'문제 보고'!F2:F51,"경미 — 사소한 표시 오류")</f>
        <v/>
      </c>
      <c r="E9" s="10">
        <f>SUM(B9:D9)</f>
        <v/>
      </c>
    </row>
    <row r="10">
      <c r="A10" s="10" t="inlineStr">
        <is>
          <t>출퇴근</t>
        </is>
      </c>
      <c r="B10" s="10">
        <f>COUNTIFS('문제 보고'!C2:C51,A10,'문제 보고'!F2:F51,"심각 — 업무 진행 불가")</f>
        <v/>
      </c>
      <c r="C10" s="10">
        <f>COUNTIFS('문제 보고'!C2:C51,A10,'문제 보고'!F2:F51,"중요 — 우회 가능")</f>
        <v/>
      </c>
      <c r="D10" s="10">
        <f>COUNTIFS('문제 보고'!C2:C51,A10,'문제 보고'!F2:F51,"경미 — 사소한 표시 오류")</f>
        <v/>
      </c>
      <c r="E10" s="10">
        <f>SUM(B10:D10)</f>
        <v/>
      </c>
    </row>
    <row r="11">
      <c r="A11" s="10" t="inlineStr">
        <is>
          <t>결재함 (받은 결재)</t>
        </is>
      </c>
      <c r="B11" s="10">
        <f>COUNTIFS('문제 보고'!C2:C51,A11,'문제 보고'!F2:F51,"심각 — 업무 진행 불가")</f>
        <v/>
      </c>
      <c r="C11" s="10">
        <f>COUNTIFS('문제 보고'!C2:C51,A11,'문제 보고'!F2:F51,"중요 — 우회 가능")</f>
        <v/>
      </c>
      <c r="D11" s="10">
        <f>COUNTIFS('문제 보고'!C2:C51,A11,'문제 보고'!F2:F51,"경미 — 사소한 표시 오류")</f>
        <v/>
      </c>
      <c r="E11" s="10">
        <f>SUM(B11:D11)</f>
        <v/>
      </c>
    </row>
    <row r="12">
      <c r="A12" s="10" t="inlineStr">
        <is>
          <t>내 결재 신청 내역</t>
        </is>
      </c>
      <c r="B12" s="10">
        <f>COUNTIFS('문제 보고'!C2:C51,A12,'문제 보고'!F2:F51,"심각 — 업무 진행 불가")</f>
        <v/>
      </c>
      <c r="C12" s="10">
        <f>COUNTIFS('문제 보고'!C2:C51,A12,'문제 보고'!F2:F51,"중요 — 우회 가능")</f>
        <v/>
      </c>
      <c r="D12" s="10">
        <f>COUNTIFS('문제 보고'!C2:C51,A12,'문제 보고'!F2:F51,"경미 — 사소한 표시 오류")</f>
        <v/>
      </c>
      <c r="E12" s="10">
        <f>SUM(B12:D12)</f>
        <v/>
      </c>
    </row>
    <row r="13">
      <c r="A13" s="10" t="inlineStr">
        <is>
          <t>급여명세서</t>
        </is>
      </c>
      <c r="B13" s="10">
        <f>COUNTIFS('문제 보고'!C2:C51,A13,'문제 보고'!F2:F51,"심각 — 업무 진행 불가")</f>
        <v/>
      </c>
      <c r="C13" s="10">
        <f>COUNTIFS('문제 보고'!C2:C51,A13,'문제 보고'!F2:F51,"중요 — 우회 가능")</f>
        <v/>
      </c>
      <c r="D13" s="10">
        <f>COUNTIFS('문제 보고'!C2:C51,A13,'문제 보고'!F2:F51,"경미 — 사소한 표시 오류")</f>
        <v/>
      </c>
      <c r="E13" s="10">
        <f>SUM(B13:D13)</f>
        <v/>
      </c>
    </row>
    <row r="14">
      <c r="A14" s="10" t="inlineStr">
        <is>
          <t>연말 정산</t>
        </is>
      </c>
      <c r="B14" s="10">
        <f>COUNTIFS('문제 보고'!C2:C51,A14,'문제 보고'!F2:F51,"심각 — 업무 진행 불가")</f>
        <v/>
      </c>
      <c r="C14" s="10">
        <f>COUNTIFS('문제 보고'!C2:C51,A14,'문제 보고'!F2:F51,"중요 — 우회 가능")</f>
        <v/>
      </c>
      <c r="D14" s="10">
        <f>COUNTIFS('문제 보고'!C2:C51,A14,'문제 보고'!F2:F51,"경미 — 사소한 표시 오류")</f>
        <v/>
      </c>
      <c r="E14" s="10">
        <f>SUM(B14:D14)</f>
        <v/>
      </c>
    </row>
    <row r="15">
      <c r="A15" s="10" t="inlineStr">
        <is>
          <t>내 목표·평가</t>
        </is>
      </c>
      <c r="B15" s="10">
        <f>COUNTIFS('문제 보고'!C2:C51,A15,'문제 보고'!F2:F51,"심각 — 업무 진행 불가")</f>
        <v/>
      </c>
      <c r="C15" s="10">
        <f>COUNTIFS('문제 보고'!C2:C51,A15,'문제 보고'!F2:F51,"중요 — 우회 가능")</f>
        <v/>
      </c>
      <c r="D15" s="10">
        <f>COUNTIFS('문제 보고'!C2:C51,A15,'문제 보고'!F2:F51,"경미 — 사소한 표시 오류")</f>
        <v/>
      </c>
      <c r="E15" s="10">
        <f>SUM(B15:D15)</f>
        <v/>
      </c>
    </row>
    <row r="16">
      <c r="A16" s="10" t="inlineStr">
        <is>
          <t>분기 리뷰</t>
        </is>
      </c>
      <c r="B16" s="10">
        <f>COUNTIFS('문제 보고'!C2:C51,A16,'문제 보고'!F2:F51,"심각 — 업무 진행 불가")</f>
        <v/>
      </c>
      <c r="C16" s="10">
        <f>COUNTIFS('문제 보고'!C2:C51,A16,'문제 보고'!F2:F51,"중요 — 우회 가능")</f>
        <v/>
      </c>
      <c r="D16" s="10">
        <f>COUNTIFS('문제 보고'!C2:C51,A16,'문제 보고'!F2:F51,"경미 — 사소한 표시 오류")</f>
        <v/>
      </c>
      <c r="E16" s="10">
        <f>SUM(B16:D16)</f>
        <v/>
      </c>
    </row>
    <row r="17">
      <c r="A17" s="10" t="inlineStr">
        <is>
          <t>인정·칭찬</t>
        </is>
      </c>
      <c r="B17" s="10">
        <f>COUNTIFS('문제 보고'!C2:C51,A17,'문제 보고'!F2:F51,"심각 — 업무 진행 불가")</f>
        <v/>
      </c>
      <c r="C17" s="10">
        <f>COUNTIFS('문제 보고'!C2:C51,A17,'문제 보고'!F2:F51,"중요 — 우회 가능")</f>
        <v/>
      </c>
      <c r="D17" s="10">
        <f>COUNTIFS('문제 보고'!C2:C51,A17,'문제 보고'!F2:F51,"경미 — 사소한 표시 오류")</f>
        <v/>
      </c>
      <c r="E17" s="10">
        <f>SUM(B17:D17)</f>
        <v/>
      </c>
    </row>
    <row r="18">
      <c r="A18" s="10" t="inlineStr">
        <is>
          <t>리포트·통계</t>
        </is>
      </c>
      <c r="B18" s="10">
        <f>COUNTIFS('문제 보고'!C2:C51,A18,'문제 보고'!F2:F51,"심각 — 업무 진행 불가")</f>
        <v/>
      </c>
      <c r="C18" s="10">
        <f>COUNTIFS('문제 보고'!C2:C51,A18,'문제 보고'!F2:F51,"중요 — 우회 가능")</f>
        <v/>
      </c>
      <c r="D18" s="10">
        <f>COUNTIFS('문제 보고'!C2:C51,A18,'문제 보고'!F2:F51,"경미 — 사소한 표시 오류")</f>
        <v/>
      </c>
      <c r="E18" s="10">
        <f>SUM(B18:D18)</f>
        <v/>
      </c>
    </row>
    <row r="19">
      <c r="A19" s="10" t="inlineStr">
        <is>
          <t>직원 관리 (HR)</t>
        </is>
      </c>
      <c r="B19" s="10">
        <f>COUNTIFS('문제 보고'!C2:C51,A19,'문제 보고'!F2:F51,"심각 — 업무 진행 불가")</f>
        <v/>
      </c>
      <c r="C19" s="10">
        <f>COUNTIFS('문제 보고'!C2:C51,A19,'문제 보고'!F2:F51,"중요 — 우회 가능")</f>
        <v/>
      </c>
      <c r="D19" s="10">
        <f>COUNTIFS('문제 보고'!C2:C51,A19,'문제 보고'!F2:F51,"경미 — 사소한 표시 오류")</f>
        <v/>
      </c>
      <c r="E19" s="10">
        <f>SUM(B19:D19)</f>
        <v/>
      </c>
    </row>
    <row r="20">
      <c r="A20" s="10" t="inlineStr">
        <is>
          <t>조직도·부서 관리 (HR)</t>
        </is>
      </c>
      <c r="B20" s="10">
        <f>COUNTIFS('문제 보고'!C2:C51,A20,'문제 보고'!F2:F51,"심각 — 업무 진행 불가")</f>
        <v/>
      </c>
      <c r="C20" s="10">
        <f>COUNTIFS('문제 보고'!C2:C51,A20,'문제 보고'!F2:F51,"중요 — 우회 가능")</f>
        <v/>
      </c>
      <c r="D20" s="10">
        <f>COUNTIFS('문제 보고'!C2:C51,A20,'문제 보고'!F2:F51,"경미 — 사소한 표시 오류")</f>
        <v/>
      </c>
      <c r="E20" s="10">
        <f>SUM(B20:D20)</f>
        <v/>
      </c>
    </row>
    <row r="21">
      <c r="A21" s="10" t="inlineStr">
        <is>
          <t>근태 관리 (HR)</t>
        </is>
      </c>
      <c r="B21" s="10">
        <f>COUNTIFS('문제 보고'!C2:C51,A21,'문제 보고'!F2:F51,"심각 — 업무 진행 불가")</f>
        <v/>
      </c>
      <c r="C21" s="10">
        <f>COUNTIFS('문제 보고'!C2:C51,A21,'문제 보고'!F2:F51,"중요 — 우회 가능")</f>
        <v/>
      </c>
      <c r="D21" s="10">
        <f>COUNTIFS('문제 보고'!C2:C51,A21,'문제 보고'!F2:F51,"경미 — 사소한 표시 오류")</f>
        <v/>
      </c>
      <c r="E21" s="10">
        <f>SUM(B21:D21)</f>
        <v/>
      </c>
    </row>
    <row r="22">
      <c r="A22" s="10" t="inlineStr">
        <is>
          <t>휴가 관리 (HR)</t>
        </is>
      </c>
      <c r="B22" s="10">
        <f>COUNTIFS('문제 보고'!C2:C51,A22,'문제 보고'!F2:F51,"심각 — 업무 진행 불가")</f>
        <v/>
      </c>
      <c r="C22" s="10">
        <f>COUNTIFS('문제 보고'!C2:C51,A22,'문제 보고'!F2:F51,"중요 — 우회 가능")</f>
        <v/>
      </c>
      <c r="D22" s="10">
        <f>COUNTIFS('문제 보고'!C2:C51,A22,'문제 보고'!F2:F51,"경미 — 사소한 표시 오류")</f>
        <v/>
      </c>
      <c r="E22" s="10">
        <f>SUM(B22:D22)</f>
        <v/>
      </c>
    </row>
    <row r="23">
      <c r="A23" s="10" t="inlineStr">
        <is>
          <t>급여 관리 (HR)</t>
        </is>
      </c>
      <c r="B23" s="10">
        <f>COUNTIFS('문제 보고'!C2:C51,A23,'문제 보고'!F2:F51,"심각 — 업무 진행 불가")</f>
        <v/>
      </c>
      <c r="C23" s="10">
        <f>COUNTIFS('문제 보고'!C2:C51,A23,'문제 보고'!F2:F51,"중요 — 우회 가능")</f>
        <v/>
      </c>
      <c r="D23" s="10">
        <f>COUNTIFS('문제 보고'!C2:C51,A23,'문제 보고'!F2:F51,"경미 — 사소한 표시 오류")</f>
        <v/>
      </c>
      <c r="E23" s="10">
        <f>SUM(B23:D23)</f>
        <v/>
      </c>
    </row>
    <row r="24">
      <c r="A24" s="10" t="inlineStr">
        <is>
          <t>결재 흐름 설정 (HR)</t>
        </is>
      </c>
      <c r="B24" s="10">
        <f>COUNTIFS('문제 보고'!C2:C51,A24,'문제 보고'!F2:F51,"심각 — 업무 진행 불가")</f>
        <v/>
      </c>
      <c r="C24" s="10">
        <f>COUNTIFS('문제 보고'!C2:C51,A24,'문제 보고'!F2:F51,"중요 — 우회 가능")</f>
        <v/>
      </c>
      <c r="D24" s="10">
        <f>COUNTIFS('문제 보고'!C2:C51,A24,'문제 보고'!F2:F51,"경미 — 사소한 표시 오류")</f>
        <v/>
      </c>
      <c r="E24" s="10">
        <f>SUM(B24:D24)</f>
        <v/>
      </c>
    </row>
    <row r="25">
      <c r="A25" s="10" t="inlineStr">
        <is>
          <t>채용 관리 (HR)</t>
        </is>
      </c>
      <c r="B25" s="10">
        <f>COUNTIFS('문제 보고'!C2:C51,A25,'문제 보고'!F2:F51,"심각 — 업무 진행 불가")</f>
        <v/>
      </c>
      <c r="C25" s="10">
        <f>COUNTIFS('문제 보고'!C2:C51,A25,'문제 보고'!F2:F51,"중요 — 우회 가능")</f>
        <v/>
      </c>
      <c r="D25" s="10">
        <f>COUNTIFS('문제 보고'!C2:C51,A25,'문제 보고'!F2:F51,"경미 — 사소한 표시 오류")</f>
        <v/>
      </c>
      <c r="E25" s="10">
        <f>SUM(B25:D25)</f>
        <v/>
      </c>
    </row>
    <row r="26">
      <c r="A26" s="10" t="inlineStr">
        <is>
          <t>평가 관리 (HR)</t>
        </is>
      </c>
      <c r="B26" s="10">
        <f>COUNTIFS('문제 보고'!C2:C51,A26,'문제 보고'!F2:F51,"심각 — 업무 진행 불가")</f>
        <v/>
      </c>
      <c r="C26" s="10">
        <f>COUNTIFS('문제 보고'!C2:C51,A26,'문제 보고'!F2:F51,"중요 — 우회 가능")</f>
        <v/>
      </c>
      <c r="D26" s="10">
        <f>COUNTIFS('문제 보고'!C2:C51,A26,'문제 보고'!F2:F51,"경미 — 사소한 표시 오류")</f>
        <v/>
      </c>
      <c r="E26" s="10">
        <f>SUM(B26:D26)</f>
        <v/>
      </c>
    </row>
    <row r="27">
      <c r="A27" s="10" t="inlineStr">
        <is>
          <t>보상 관리 (HR)</t>
        </is>
      </c>
      <c r="B27" s="10">
        <f>COUNTIFS('문제 보고'!C2:C51,A27,'문제 보고'!F2:F51,"심각 — 업무 진행 불가")</f>
        <v/>
      </c>
      <c r="C27" s="10">
        <f>COUNTIFS('문제 보고'!C2:C51,A27,'문제 보고'!F2:F51,"중요 — 우회 가능")</f>
        <v/>
      </c>
      <c r="D27" s="10">
        <f>COUNTIFS('문제 보고'!C2:C51,A27,'문제 보고'!F2:F51,"경미 — 사소한 표시 오류")</f>
        <v/>
      </c>
      <c r="E27" s="10">
        <f>SUM(B27:D27)</f>
        <v/>
      </c>
    </row>
    <row r="28">
      <c r="A28" s="10" t="inlineStr">
        <is>
          <t>온보딩·오프보딩 (HR)</t>
        </is>
      </c>
      <c r="B28" s="10">
        <f>COUNTIFS('문제 보고'!C2:C51,A28,'문제 보고'!F2:F51,"심각 — 업무 진행 불가")</f>
        <v/>
      </c>
      <c r="C28" s="10">
        <f>COUNTIFS('문제 보고'!C2:C51,A28,'문제 보고'!F2:F51,"중요 — 우회 가능")</f>
        <v/>
      </c>
      <c r="D28" s="10">
        <f>COUNTIFS('문제 보고'!C2:C51,A28,'문제 보고'!F2:F51,"경미 — 사소한 표시 오류")</f>
        <v/>
      </c>
      <c r="E28" s="10">
        <f>SUM(B28:D28)</f>
        <v/>
      </c>
    </row>
    <row r="29">
      <c r="A29" s="10" t="inlineStr">
        <is>
          <t>마스터데이터·설정 (HR)</t>
        </is>
      </c>
      <c r="B29" s="10">
        <f>COUNTIFS('문제 보고'!C2:C51,A29,'문제 보고'!F2:F51,"심각 — 업무 진행 불가")</f>
        <v/>
      </c>
      <c r="C29" s="10">
        <f>COUNTIFS('문제 보고'!C2:C51,A29,'문제 보고'!F2:F51,"중요 — 우회 가능")</f>
        <v/>
      </c>
      <c r="D29" s="10">
        <f>COUNTIFS('문제 보고'!C2:C51,A29,'문제 보고'!F2:F51,"경미 — 사소한 표시 오류")</f>
        <v/>
      </c>
      <c r="E29" s="10">
        <f>SUM(B29:D29)</f>
        <v/>
      </c>
    </row>
    <row r="30">
      <c r="A30" s="10" t="inlineStr">
        <is>
          <t>컴플라이언스 (HR)</t>
        </is>
      </c>
      <c r="B30" s="10">
        <f>COUNTIFS('문제 보고'!C2:C51,A30,'문제 보고'!F2:F51,"심각 — 업무 진행 불가")</f>
        <v/>
      </c>
      <c r="C30" s="10">
        <f>COUNTIFS('문제 보고'!C2:C51,A30,'문제 보고'!F2:F51,"중요 — 우회 가능")</f>
        <v/>
      </c>
      <c r="D30" s="10">
        <f>COUNTIFS('문제 보고'!C2:C51,A30,'문제 보고'!F2:F51,"경미 — 사소한 표시 오류")</f>
        <v/>
      </c>
      <c r="E30" s="10">
        <f>SUM(B30:D30)</f>
        <v/>
      </c>
    </row>
    <row r="31">
      <c r="A31" s="10" t="inlineStr">
        <is>
          <t>기타</t>
        </is>
      </c>
      <c r="B31" s="10">
        <f>COUNTIFS('문제 보고'!C2:C51,A31,'문제 보고'!F2:F51,"심각 — 업무 진행 불가")</f>
        <v/>
      </c>
      <c r="C31" s="10">
        <f>COUNTIFS('문제 보고'!C2:C51,A31,'문제 보고'!F2:F51,"중요 — 우회 가능")</f>
        <v/>
      </c>
      <c r="D31" s="10">
        <f>COUNTIFS('문제 보고'!C2:C51,A31,'문제 보고'!F2:F51,"경미 — 사소한 표시 오류")</f>
        <v/>
      </c>
      <c r="E31" s="10">
        <f>SUM(B31:D31)</f>
        <v/>
      </c>
    </row>
    <row r="32">
      <c r="A32" s="11" t="inlineStr">
        <is>
          <t>합계</t>
        </is>
      </c>
      <c r="B32" s="11">
        <f>SUM(B6:B31)</f>
        <v/>
      </c>
      <c r="C32" s="11">
        <f>SUM(C6:C31)</f>
        <v/>
      </c>
      <c r="D32" s="11">
        <f>SUM(D6:D31)</f>
        <v/>
      </c>
      <c r="E32" s="11">
        <f>SUM(E6:E31)</f>
        <v/>
      </c>
    </row>
    <row r="35">
      <c r="A35" s="2" t="inlineStr">
        <is>
          <t>2. 개선 제안 — 화면별 건수</t>
        </is>
      </c>
    </row>
    <row r="36" ht="24" customHeight="1">
      <c r="A36" s="11" t="inlineStr">
        <is>
          <t>화면</t>
        </is>
      </c>
      <c r="B36" s="11" t="inlineStr">
        <is>
          <t>높음</t>
        </is>
      </c>
      <c r="C36" s="11" t="inlineStr">
        <is>
          <t>중간</t>
        </is>
      </c>
      <c r="D36" s="11" t="inlineStr">
        <is>
          <t>낮음</t>
        </is>
      </c>
      <c r="E36" s="11" t="inlineStr">
        <is>
          <t>합계</t>
        </is>
      </c>
    </row>
    <row r="37">
      <c r="A37" s="10" t="inlineStr">
        <is>
          <t>홈 / 알림</t>
        </is>
      </c>
      <c r="B37" s="10">
        <f>COUNTIFS('개선 제안'!C2:C51,A37,'개선 제안'!F2:F51,"높음 — 매일 활용 예상")</f>
        <v/>
      </c>
      <c r="C37" s="10">
        <f>COUNTIFS('개선 제안'!C2:C51,A37,'개선 제안'!F2:F51,"중간 — 주 1~2회 활용")</f>
        <v/>
      </c>
      <c r="D37" s="10">
        <f>COUNTIFS('개선 제안'!C2:C51,A37,'개선 제안'!F2:F51,"낮음 — 가끔 활용")</f>
        <v/>
      </c>
      <c r="E37" s="10">
        <f>SUM(B37:D37)</f>
        <v/>
      </c>
    </row>
    <row r="38">
      <c r="A38" s="10" t="inlineStr">
        <is>
          <t>나의 공간 (내 정보)</t>
        </is>
      </c>
      <c r="B38" s="10">
        <f>COUNTIFS('개선 제안'!C2:C51,A38,'개선 제안'!F2:F51,"높음 — 매일 활용 예상")</f>
        <v/>
      </c>
      <c r="C38" s="10">
        <f>COUNTIFS('개선 제안'!C2:C51,A38,'개선 제안'!F2:F51,"중간 — 주 1~2회 활용")</f>
        <v/>
      </c>
      <c r="D38" s="10">
        <f>COUNTIFS('개선 제안'!C2:C51,A38,'개선 제안'!F2:F51,"낮음 — 가끔 활용")</f>
        <v/>
      </c>
      <c r="E38" s="10">
        <f>SUM(B38:D38)</f>
        <v/>
      </c>
    </row>
    <row r="39">
      <c r="A39" s="10" t="inlineStr">
        <is>
          <t>휴가 신청·조회</t>
        </is>
      </c>
      <c r="B39" s="10">
        <f>COUNTIFS('개선 제안'!C2:C51,A39,'개선 제안'!F2:F51,"높음 — 매일 활용 예상")</f>
        <v/>
      </c>
      <c r="C39" s="10">
        <f>COUNTIFS('개선 제안'!C2:C51,A39,'개선 제안'!F2:F51,"중간 — 주 1~2회 활용")</f>
        <v/>
      </c>
      <c r="D39" s="10">
        <f>COUNTIFS('개선 제안'!C2:C51,A39,'개선 제안'!F2:F51,"낮음 — 가끔 활용")</f>
        <v/>
      </c>
      <c r="E39" s="10">
        <f>SUM(B39:D39)</f>
        <v/>
      </c>
    </row>
    <row r="40">
      <c r="A40" s="10" t="inlineStr">
        <is>
          <t>휴직 신청·조회</t>
        </is>
      </c>
      <c r="B40" s="10">
        <f>COUNTIFS('개선 제안'!C2:C51,A40,'개선 제안'!F2:F51,"높음 — 매일 활용 예상")</f>
        <v/>
      </c>
      <c r="C40" s="10">
        <f>COUNTIFS('개선 제안'!C2:C51,A40,'개선 제안'!F2:F51,"중간 — 주 1~2회 활용")</f>
        <v/>
      </c>
      <c r="D40" s="10">
        <f>COUNTIFS('개선 제안'!C2:C51,A40,'개선 제안'!F2:F51,"낮음 — 가끔 활용")</f>
        <v/>
      </c>
      <c r="E40" s="10">
        <f>SUM(B40:D40)</f>
        <v/>
      </c>
    </row>
    <row r="41">
      <c r="A41" s="10" t="inlineStr">
        <is>
          <t>출퇴근</t>
        </is>
      </c>
      <c r="B41" s="10">
        <f>COUNTIFS('개선 제안'!C2:C51,A41,'개선 제안'!F2:F51,"높음 — 매일 활용 예상")</f>
        <v/>
      </c>
      <c r="C41" s="10">
        <f>COUNTIFS('개선 제안'!C2:C51,A41,'개선 제안'!F2:F51,"중간 — 주 1~2회 활용")</f>
        <v/>
      </c>
      <c r="D41" s="10">
        <f>COUNTIFS('개선 제안'!C2:C51,A41,'개선 제안'!F2:F51,"낮음 — 가끔 활용")</f>
        <v/>
      </c>
      <c r="E41" s="10">
        <f>SUM(B41:D41)</f>
        <v/>
      </c>
    </row>
    <row r="42">
      <c r="A42" s="10" t="inlineStr">
        <is>
          <t>결재함 (받은 결재)</t>
        </is>
      </c>
      <c r="B42" s="10">
        <f>COUNTIFS('개선 제안'!C2:C51,A42,'개선 제안'!F2:F51,"높음 — 매일 활용 예상")</f>
        <v/>
      </c>
      <c r="C42" s="10">
        <f>COUNTIFS('개선 제안'!C2:C51,A42,'개선 제안'!F2:F51,"중간 — 주 1~2회 활용")</f>
        <v/>
      </c>
      <c r="D42" s="10">
        <f>COUNTIFS('개선 제안'!C2:C51,A42,'개선 제안'!F2:F51,"낮음 — 가끔 활용")</f>
        <v/>
      </c>
      <c r="E42" s="10">
        <f>SUM(B42:D42)</f>
        <v/>
      </c>
    </row>
    <row r="43">
      <c r="A43" s="10" t="inlineStr">
        <is>
          <t>내 결재 신청 내역</t>
        </is>
      </c>
      <c r="B43" s="10">
        <f>COUNTIFS('개선 제안'!C2:C51,A43,'개선 제안'!F2:F51,"높음 — 매일 활용 예상")</f>
        <v/>
      </c>
      <c r="C43" s="10">
        <f>COUNTIFS('개선 제안'!C2:C51,A43,'개선 제안'!F2:F51,"중간 — 주 1~2회 활용")</f>
        <v/>
      </c>
      <c r="D43" s="10">
        <f>COUNTIFS('개선 제안'!C2:C51,A43,'개선 제안'!F2:F51,"낮음 — 가끔 활용")</f>
        <v/>
      </c>
      <c r="E43" s="10">
        <f>SUM(B43:D43)</f>
        <v/>
      </c>
    </row>
    <row r="44">
      <c r="A44" s="10" t="inlineStr">
        <is>
          <t>급여명세서</t>
        </is>
      </c>
      <c r="B44" s="10">
        <f>COUNTIFS('개선 제안'!C2:C51,A44,'개선 제안'!F2:F51,"높음 — 매일 활용 예상")</f>
        <v/>
      </c>
      <c r="C44" s="10">
        <f>COUNTIFS('개선 제안'!C2:C51,A44,'개선 제안'!F2:F51,"중간 — 주 1~2회 활용")</f>
        <v/>
      </c>
      <c r="D44" s="10">
        <f>COUNTIFS('개선 제안'!C2:C51,A44,'개선 제안'!F2:F51,"낮음 — 가끔 활용")</f>
        <v/>
      </c>
      <c r="E44" s="10">
        <f>SUM(B44:D44)</f>
        <v/>
      </c>
    </row>
    <row r="45">
      <c r="A45" s="10" t="inlineStr">
        <is>
          <t>연말 정산</t>
        </is>
      </c>
      <c r="B45" s="10">
        <f>COUNTIFS('개선 제안'!C2:C51,A45,'개선 제안'!F2:F51,"높음 — 매일 활용 예상")</f>
        <v/>
      </c>
      <c r="C45" s="10">
        <f>COUNTIFS('개선 제안'!C2:C51,A45,'개선 제안'!F2:F51,"중간 — 주 1~2회 활용")</f>
        <v/>
      </c>
      <c r="D45" s="10">
        <f>COUNTIFS('개선 제안'!C2:C51,A45,'개선 제안'!F2:F51,"낮음 — 가끔 활용")</f>
        <v/>
      </c>
      <c r="E45" s="10">
        <f>SUM(B45:D45)</f>
        <v/>
      </c>
    </row>
    <row r="46">
      <c r="A46" s="10" t="inlineStr">
        <is>
          <t>내 목표·평가</t>
        </is>
      </c>
      <c r="B46" s="10">
        <f>COUNTIFS('개선 제안'!C2:C51,A46,'개선 제안'!F2:F51,"높음 — 매일 활용 예상")</f>
        <v/>
      </c>
      <c r="C46" s="10">
        <f>COUNTIFS('개선 제안'!C2:C51,A46,'개선 제안'!F2:F51,"중간 — 주 1~2회 활용")</f>
        <v/>
      </c>
      <c r="D46" s="10">
        <f>COUNTIFS('개선 제안'!C2:C51,A46,'개선 제안'!F2:F51,"낮음 — 가끔 활용")</f>
        <v/>
      </c>
      <c r="E46" s="10">
        <f>SUM(B46:D46)</f>
        <v/>
      </c>
    </row>
    <row r="47">
      <c r="A47" s="10" t="inlineStr">
        <is>
          <t>분기 리뷰</t>
        </is>
      </c>
      <c r="B47" s="10">
        <f>COUNTIFS('개선 제안'!C2:C51,A47,'개선 제안'!F2:F51,"높음 — 매일 활용 예상")</f>
        <v/>
      </c>
      <c r="C47" s="10">
        <f>COUNTIFS('개선 제안'!C2:C51,A47,'개선 제안'!F2:F51,"중간 — 주 1~2회 활용")</f>
        <v/>
      </c>
      <c r="D47" s="10">
        <f>COUNTIFS('개선 제안'!C2:C51,A47,'개선 제안'!F2:F51,"낮음 — 가끔 활용")</f>
        <v/>
      </c>
      <c r="E47" s="10">
        <f>SUM(B47:D47)</f>
        <v/>
      </c>
    </row>
    <row r="48">
      <c r="A48" s="10" t="inlineStr">
        <is>
          <t>인정·칭찬</t>
        </is>
      </c>
      <c r="B48" s="10">
        <f>COUNTIFS('개선 제안'!C2:C51,A48,'개선 제안'!F2:F51,"높음 — 매일 활용 예상")</f>
        <v/>
      </c>
      <c r="C48" s="10">
        <f>COUNTIFS('개선 제안'!C2:C51,A48,'개선 제안'!F2:F51,"중간 — 주 1~2회 활용")</f>
        <v/>
      </c>
      <c r="D48" s="10">
        <f>COUNTIFS('개선 제안'!C2:C51,A48,'개선 제안'!F2:F51,"낮음 — 가끔 활용")</f>
        <v/>
      </c>
      <c r="E48" s="10">
        <f>SUM(B48:D48)</f>
        <v/>
      </c>
    </row>
    <row r="49">
      <c r="A49" s="10" t="inlineStr">
        <is>
          <t>리포트·통계</t>
        </is>
      </c>
      <c r="B49" s="10">
        <f>COUNTIFS('개선 제안'!C2:C51,A49,'개선 제안'!F2:F51,"높음 — 매일 활용 예상")</f>
        <v/>
      </c>
      <c r="C49" s="10">
        <f>COUNTIFS('개선 제안'!C2:C51,A49,'개선 제안'!F2:F51,"중간 — 주 1~2회 활용")</f>
        <v/>
      </c>
      <c r="D49" s="10">
        <f>COUNTIFS('개선 제안'!C2:C51,A49,'개선 제안'!F2:F51,"낮음 — 가끔 활용")</f>
        <v/>
      </c>
      <c r="E49" s="10">
        <f>SUM(B49:D49)</f>
        <v/>
      </c>
    </row>
    <row r="50">
      <c r="A50" s="10" t="inlineStr">
        <is>
          <t>직원 관리 (HR)</t>
        </is>
      </c>
      <c r="B50" s="10">
        <f>COUNTIFS('개선 제안'!C2:C51,A50,'개선 제안'!F2:F51,"높음 — 매일 활용 예상")</f>
        <v/>
      </c>
      <c r="C50" s="10">
        <f>COUNTIFS('개선 제안'!C2:C51,A50,'개선 제안'!F2:F51,"중간 — 주 1~2회 활용")</f>
        <v/>
      </c>
      <c r="D50" s="10">
        <f>COUNTIFS('개선 제안'!C2:C51,A50,'개선 제안'!F2:F51,"낮음 — 가끔 활용")</f>
        <v/>
      </c>
      <c r="E50" s="10">
        <f>SUM(B50:D50)</f>
        <v/>
      </c>
    </row>
    <row r="51">
      <c r="A51" s="10" t="inlineStr">
        <is>
          <t>조직도·부서 관리 (HR)</t>
        </is>
      </c>
      <c r="B51" s="10">
        <f>COUNTIFS('개선 제안'!C2:C51,A51,'개선 제안'!F2:F51,"높음 — 매일 활용 예상")</f>
        <v/>
      </c>
      <c r="C51" s="10">
        <f>COUNTIFS('개선 제안'!C2:C51,A51,'개선 제안'!F2:F51,"중간 — 주 1~2회 활용")</f>
        <v/>
      </c>
      <c r="D51" s="10">
        <f>COUNTIFS('개선 제안'!C2:C51,A51,'개선 제안'!F2:F51,"낮음 — 가끔 활용")</f>
        <v/>
      </c>
      <c r="E51" s="10">
        <f>SUM(B51:D51)</f>
        <v/>
      </c>
    </row>
    <row r="52">
      <c r="A52" s="10" t="inlineStr">
        <is>
          <t>근태 관리 (HR)</t>
        </is>
      </c>
      <c r="B52" s="10">
        <f>COUNTIFS('개선 제안'!C2:C51,A52,'개선 제안'!F2:F51,"높음 — 매일 활용 예상")</f>
        <v/>
      </c>
      <c r="C52" s="10">
        <f>COUNTIFS('개선 제안'!C2:C51,A52,'개선 제안'!F2:F51,"중간 — 주 1~2회 활용")</f>
        <v/>
      </c>
      <c r="D52" s="10">
        <f>COUNTIFS('개선 제안'!C2:C51,A52,'개선 제안'!F2:F51,"낮음 — 가끔 활용")</f>
        <v/>
      </c>
      <c r="E52" s="10">
        <f>SUM(B52:D52)</f>
        <v/>
      </c>
    </row>
    <row r="53">
      <c r="A53" s="10" t="inlineStr">
        <is>
          <t>휴가 관리 (HR)</t>
        </is>
      </c>
      <c r="B53" s="10">
        <f>COUNTIFS('개선 제안'!C2:C51,A53,'개선 제안'!F2:F51,"높음 — 매일 활용 예상")</f>
        <v/>
      </c>
      <c r="C53" s="10">
        <f>COUNTIFS('개선 제안'!C2:C51,A53,'개선 제안'!F2:F51,"중간 — 주 1~2회 활용")</f>
        <v/>
      </c>
      <c r="D53" s="10">
        <f>COUNTIFS('개선 제안'!C2:C51,A53,'개선 제안'!F2:F51,"낮음 — 가끔 활용")</f>
        <v/>
      </c>
      <c r="E53" s="10">
        <f>SUM(B53:D53)</f>
        <v/>
      </c>
    </row>
    <row r="54">
      <c r="A54" s="10" t="inlineStr">
        <is>
          <t>급여 관리 (HR)</t>
        </is>
      </c>
      <c r="B54" s="10">
        <f>COUNTIFS('개선 제안'!C2:C51,A54,'개선 제안'!F2:F51,"높음 — 매일 활용 예상")</f>
        <v/>
      </c>
      <c r="C54" s="10">
        <f>COUNTIFS('개선 제안'!C2:C51,A54,'개선 제안'!F2:F51,"중간 — 주 1~2회 활용")</f>
        <v/>
      </c>
      <c r="D54" s="10">
        <f>COUNTIFS('개선 제안'!C2:C51,A54,'개선 제안'!F2:F51,"낮음 — 가끔 활용")</f>
        <v/>
      </c>
      <c r="E54" s="10">
        <f>SUM(B54:D54)</f>
        <v/>
      </c>
    </row>
    <row r="55">
      <c r="A55" s="10" t="inlineStr">
        <is>
          <t>결재 흐름 설정 (HR)</t>
        </is>
      </c>
      <c r="B55" s="10">
        <f>COUNTIFS('개선 제안'!C2:C51,A55,'개선 제안'!F2:F51,"높음 — 매일 활용 예상")</f>
        <v/>
      </c>
      <c r="C55" s="10">
        <f>COUNTIFS('개선 제안'!C2:C51,A55,'개선 제안'!F2:F51,"중간 — 주 1~2회 활용")</f>
        <v/>
      </c>
      <c r="D55" s="10">
        <f>COUNTIFS('개선 제안'!C2:C51,A55,'개선 제안'!F2:F51,"낮음 — 가끔 활용")</f>
        <v/>
      </c>
      <c r="E55" s="10">
        <f>SUM(B55:D55)</f>
        <v/>
      </c>
    </row>
    <row r="56">
      <c r="A56" s="10" t="inlineStr">
        <is>
          <t>채용 관리 (HR)</t>
        </is>
      </c>
      <c r="B56" s="10">
        <f>COUNTIFS('개선 제안'!C2:C51,A56,'개선 제안'!F2:F51,"높음 — 매일 활용 예상")</f>
        <v/>
      </c>
      <c r="C56" s="10">
        <f>COUNTIFS('개선 제안'!C2:C51,A56,'개선 제안'!F2:F51,"중간 — 주 1~2회 활용")</f>
        <v/>
      </c>
      <c r="D56" s="10">
        <f>COUNTIFS('개선 제안'!C2:C51,A56,'개선 제안'!F2:F51,"낮음 — 가끔 활용")</f>
        <v/>
      </c>
      <c r="E56" s="10">
        <f>SUM(B56:D56)</f>
        <v/>
      </c>
    </row>
    <row r="57">
      <c r="A57" s="10" t="inlineStr">
        <is>
          <t>평가 관리 (HR)</t>
        </is>
      </c>
      <c r="B57" s="10">
        <f>COUNTIFS('개선 제안'!C2:C51,A57,'개선 제안'!F2:F51,"높음 — 매일 활용 예상")</f>
        <v/>
      </c>
      <c r="C57" s="10">
        <f>COUNTIFS('개선 제안'!C2:C51,A57,'개선 제안'!F2:F51,"중간 — 주 1~2회 활용")</f>
        <v/>
      </c>
      <c r="D57" s="10">
        <f>COUNTIFS('개선 제안'!C2:C51,A57,'개선 제안'!F2:F51,"낮음 — 가끔 활용")</f>
        <v/>
      </c>
      <c r="E57" s="10">
        <f>SUM(B57:D57)</f>
        <v/>
      </c>
    </row>
    <row r="58">
      <c r="A58" s="10" t="inlineStr">
        <is>
          <t>보상 관리 (HR)</t>
        </is>
      </c>
      <c r="B58" s="10">
        <f>COUNTIFS('개선 제안'!C2:C51,A58,'개선 제안'!F2:F51,"높음 — 매일 활용 예상")</f>
        <v/>
      </c>
      <c r="C58" s="10">
        <f>COUNTIFS('개선 제안'!C2:C51,A58,'개선 제안'!F2:F51,"중간 — 주 1~2회 활용")</f>
        <v/>
      </c>
      <c r="D58" s="10">
        <f>COUNTIFS('개선 제안'!C2:C51,A58,'개선 제안'!F2:F51,"낮음 — 가끔 활용")</f>
        <v/>
      </c>
      <c r="E58" s="10">
        <f>SUM(B58:D58)</f>
        <v/>
      </c>
    </row>
    <row r="59">
      <c r="A59" s="10" t="inlineStr">
        <is>
          <t>온보딩·오프보딩 (HR)</t>
        </is>
      </c>
      <c r="B59" s="10">
        <f>COUNTIFS('개선 제안'!C2:C51,A59,'개선 제안'!F2:F51,"높음 — 매일 활용 예상")</f>
        <v/>
      </c>
      <c r="C59" s="10">
        <f>COUNTIFS('개선 제안'!C2:C51,A59,'개선 제안'!F2:F51,"중간 — 주 1~2회 활용")</f>
        <v/>
      </c>
      <c r="D59" s="10">
        <f>COUNTIFS('개선 제안'!C2:C51,A59,'개선 제안'!F2:F51,"낮음 — 가끔 활용")</f>
        <v/>
      </c>
      <c r="E59" s="10">
        <f>SUM(B59:D59)</f>
        <v/>
      </c>
    </row>
    <row r="60">
      <c r="A60" s="10" t="inlineStr">
        <is>
          <t>마스터데이터·설정 (HR)</t>
        </is>
      </c>
      <c r="B60" s="10">
        <f>COUNTIFS('개선 제안'!C2:C51,A60,'개선 제안'!F2:F51,"높음 — 매일 활용 예상")</f>
        <v/>
      </c>
      <c r="C60" s="10">
        <f>COUNTIFS('개선 제안'!C2:C51,A60,'개선 제안'!F2:F51,"중간 — 주 1~2회 활용")</f>
        <v/>
      </c>
      <c r="D60" s="10">
        <f>COUNTIFS('개선 제안'!C2:C51,A60,'개선 제안'!F2:F51,"낮음 — 가끔 활용")</f>
        <v/>
      </c>
      <c r="E60" s="10">
        <f>SUM(B60:D60)</f>
        <v/>
      </c>
    </row>
    <row r="61">
      <c r="A61" s="10" t="inlineStr">
        <is>
          <t>컴플라이언스 (HR)</t>
        </is>
      </c>
      <c r="B61" s="10">
        <f>COUNTIFS('개선 제안'!C2:C51,A61,'개선 제안'!F2:F51,"높음 — 매일 활용 예상")</f>
        <v/>
      </c>
      <c r="C61" s="10">
        <f>COUNTIFS('개선 제안'!C2:C51,A61,'개선 제안'!F2:F51,"중간 — 주 1~2회 활용")</f>
        <v/>
      </c>
      <c r="D61" s="10">
        <f>COUNTIFS('개선 제안'!C2:C51,A61,'개선 제안'!F2:F51,"낮음 — 가끔 활용")</f>
        <v/>
      </c>
      <c r="E61" s="10">
        <f>SUM(B61:D61)</f>
        <v/>
      </c>
    </row>
    <row r="62">
      <c r="A62" s="10" t="inlineStr">
        <is>
          <t>기타</t>
        </is>
      </c>
      <c r="B62" s="10">
        <f>COUNTIFS('개선 제안'!C2:C51,A62,'개선 제안'!F2:F51,"높음 — 매일 활용 예상")</f>
        <v/>
      </c>
      <c r="C62" s="10">
        <f>COUNTIFS('개선 제안'!C2:C51,A62,'개선 제안'!F2:F51,"중간 — 주 1~2회 활용")</f>
        <v/>
      </c>
      <c r="D62" s="10">
        <f>COUNTIFS('개선 제안'!C2:C51,A62,'개선 제안'!F2:F51,"낮음 — 가끔 활용")</f>
        <v/>
      </c>
      <c r="E62" s="10">
        <f>SUM(B62:D62)</f>
        <v/>
      </c>
    </row>
    <row r="63">
      <c r="A63" s="11" t="inlineStr">
        <is>
          <t>합계</t>
        </is>
      </c>
      <c r="B63" s="11">
        <f>SUM(B37:B62)</f>
        <v/>
      </c>
      <c r="C63" s="11">
        <f>SUM(C37:C62)</f>
        <v/>
      </c>
      <c r="D63" s="11">
        <f>SUM(D37:D62)</f>
        <v/>
      </c>
      <c r="E63" s="11">
        <f>SUM(E37:E62)</f>
        <v/>
      </c>
    </row>
    <row r="66">
      <c r="A66" s="2" t="inlineStr">
        <is>
          <t>3. 전체 요약</t>
        </is>
      </c>
    </row>
    <row r="67" ht="22" customHeight="1">
      <c r="A67" s="12" t="inlineStr">
        <is>
          <t>전체 문제 보고 건수</t>
        </is>
      </c>
      <c r="B67" s="13">
        <f>COUNTA('문제 보고'!A2:A51)</f>
        <v/>
      </c>
    </row>
    <row r="68" ht="22" customHeight="1">
      <c r="A68" s="12" t="inlineStr">
        <is>
          <t xml:space="preserve">  심각</t>
        </is>
      </c>
      <c r="B68" s="13">
        <f>COUNTIF('문제 보고'!F2:F51,"심각 — 업무 진행 불가")</f>
        <v/>
      </c>
    </row>
    <row r="69" ht="22" customHeight="1">
      <c r="A69" s="12" t="inlineStr">
        <is>
          <t xml:space="preserve">  중요</t>
        </is>
      </c>
      <c r="B69" s="13">
        <f>COUNTIF('문제 보고'!F2:F51,"중요 — 우회 가능")</f>
        <v/>
      </c>
    </row>
    <row r="70" ht="22" customHeight="1">
      <c r="A70" s="12" t="inlineStr">
        <is>
          <t xml:space="preserve">  경미</t>
        </is>
      </c>
      <c r="B70" s="13">
        <f>COUNTIF('문제 보고'!F2:F51,"경미 — 사소한 표시 오류")</f>
        <v/>
      </c>
    </row>
    <row r="71" ht="22" customHeight="1">
      <c r="A71" s="12" t="inlineStr">
        <is>
          <t>전체 개선 제안 건수</t>
        </is>
      </c>
      <c r="B71" s="13">
        <f>COUNTA('개선 제안'!A2:A51)</f>
        <v/>
      </c>
    </row>
    <row r="72" ht="22" customHeight="1">
      <c r="A72" s="12" t="inlineStr">
        <is>
          <t xml:space="preserve">  높음</t>
        </is>
      </c>
      <c r="B72" s="13">
        <f>COUNTIF('개선 제안'!F2:F51,"높음 — 매일 활용 예상")</f>
        <v/>
      </c>
    </row>
    <row r="73" ht="22" customHeight="1">
      <c r="A73" s="12" t="inlineStr">
        <is>
          <t xml:space="preserve">  중간</t>
        </is>
      </c>
      <c r="B73" s="13">
        <f>COUNTIF('개선 제안'!F2:F51,"중간 — 주 1~2회 활용")</f>
        <v/>
      </c>
    </row>
    <row r="74" ht="22" customHeight="1">
      <c r="A74" s="12" t="inlineStr">
        <is>
          <t xml:space="preserve">  낮음</t>
        </is>
      </c>
      <c r="B74" s="13">
        <f>COUNTIF('개선 제안'!F2:F51,"낮음 — 가끔 활용")</f>
        <v/>
      </c>
    </row>
    <row r="75" ht="22" customHeight="1">
      <c r="A75" s="12" t="inlineStr">
        <is>
          <t>참여 작성자 수 (문제 보고 기준)</t>
        </is>
      </c>
      <c r="B75" s="13">
        <f>SUMPRODUCT((COUNTIF('문제 보고'!A2:A51,'문제 보고'!A2:A51)&lt;&gt;0)/COUNTIF('문제 보고'!A2:A51,'문제 보고'!A2:A51&amp;""))</f>
        <v/>
      </c>
    </row>
    <row r="78">
      <c r="A78" s="2" t="inlineStr">
        <is>
          <t>4. 관리자 매핑 가이드</t>
        </is>
      </c>
    </row>
    <row r="79" ht="160" customHeight="1">
      <c r="A79" s="8" t="inlineStr">
        <is>
          <t>본 폼은 사무직 작성자가 자유롭게 입력하는 1차 수집 채널입니다. UAT 관리자는 다음을 수행합니다.
  1) 신규 입력 검토 (일 1회 권장)
  2) 개발자용 UAT_피드백_결과_v2.xlsx 피드백 로그에 FB-XXX 이슈로 이관:
     - 화면 → 정확한 시스템 모듈 매핑
     - 심각/중요/경미 → Critical/Major/Minor 매핑 (필요 시 격상·격하)
     - 우선순위 → 개선(enhancement) 항목으로 분류
  3) 중복 건은 본 폼의 비고에 "FB-XXX 동일" 표기 후 통합
  4) 매주 통계는 본 시트 자동 집계 + 개발자 v2의 모듈별·심각도별 집계 시트를 함께 활용</t>
        </is>
      </c>
    </row>
  </sheetData>
  <mergeCells count="3">
    <mergeCell ref="A2:F2"/>
    <mergeCell ref="A1:F1"/>
    <mergeCell ref="A79:F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2026-05-12T23:29:43Z</dcterms:created>
  <dcterms:modified xmlns:dcterms="http://purl.org/dc/terms/" xmlns:xsi="http://www.w3.org/2001/XMLSchema-instance" xsi:type="dcterms:W3CDTF">2026-05-12T23:29:43Z</dcterms:modified>
</cp:coreProperties>
</file>