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시작하기" sheetId="1" state="visible" r:id="rId1"/>
    <sheet xmlns:r="http://schemas.openxmlformats.org/officeDocument/2006/relationships" name="🔴 이건 잘 안돼요" sheetId="2" state="visible" r:id="rId2"/>
    <sheet xmlns:r="http://schemas.openxmlformats.org/officeDocument/2006/relationships" name="💡 이게 있으면 좋겠어요" sheetId="3" state="visible" r:id="rId3"/>
    <sheet xmlns:r="http://schemas.openxmlformats.org/officeDocument/2006/relationships" name="📊 관리자용 집계"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algun Gothic"/>
      <b val="1"/>
      <color rgb="001F4E78"/>
      <sz val="18"/>
    </font>
    <font>
      <name val="Malgun Gothic"/>
      <sz val="13"/>
    </font>
    <font>
      <name val="Malgun Gothic"/>
      <b val="1"/>
      <color rgb="001F4E78"/>
      <sz val="14"/>
    </font>
    <font>
      <name val="Malgun Gothic"/>
      <b val="1"/>
      <sz val="12"/>
    </font>
    <font>
      <name val="Malgun Gothic"/>
      <b val="1"/>
      <color rgb="00FFFFFF"/>
      <sz val="12"/>
    </font>
    <font>
      <name val="Malgun Gothic"/>
      <sz val="12"/>
    </font>
  </fonts>
  <fills count="8">
    <fill>
      <patternFill/>
    </fill>
    <fill>
      <patternFill patternType="gray125"/>
    </fill>
    <fill>
      <patternFill patternType="solid">
        <fgColor rgb="00E2EFDA"/>
      </patternFill>
    </fill>
    <fill>
      <patternFill patternType="solid">
        <fgColor rgb="00FCE4D6"/>
      </patternFill>
    </fill>
    <fill>
      <patternFill patternType="solid">
        <fgColor rgb="00FFF2CC"/>
      </patternFill>
    </fill>
    <fill>
      <patternFill patternType="solid">
        <fgColor rgb="00C00000"/>
      </patternFill>
    </fill>
    <fill>
      <patternFill patternType="solid">
        <fgColor rgb="00BF8F00"/>
      </patternFill>
    </fill>
    <fill>
      <patternFill patternType="solid">
        <fgColor rgb="007030A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0" borderId="0" applyAlignment="1" pivotButton="0" quotePrefix="0" xfId="0">
      <alignment vertical="top" wrapText="1"/>
    </xf>
    <xf numFmtId="0" fontId="2" fillId="2" borderId="0" applyAlignment="1" pivotButton="0" quotePrefix="0" xfId="0">
      <alignment vertical="top" wrapText="1"/>
    </xf>
    <xf numFmtId="0" fontId="2" fillId="3" borderId="0" applyAlignment="1" pivotButton="0" quotePrefix="0" xfId="0">
      <alignment vertical="top" wrapText="1"/>
    </xf>
    <xf numFmtId="0" fontId="4" fillId="0" borderId="0" pivotButton="0" quotePrefix="0" xfId="0"/>
    <xf numFmtId="0" fontId="2" fillId="4" borderId="0" applyAlignment="1" pivotButton="0" quotePrefix="0" xfId="0">
      <alignment vertical="top" wrapText="1"/>
    </xf>
    <xf numFmtId="0" fontId="5" fillId="5" borderId="1" applyAlignment="1" pivotButton="0" quotePrefix="0" xfId="0">
      <alignment horizontal="center" vertical="center" wrapText="1"/>
    </xf>
    <xf numFmtId="0" fontId="2" fillId="0" borderId="1" applyAlignment="1" pivotButton="0" quotePrefix="0" xfId="0">
      <alignment vertical="top" wrapText="1"/>
    </xf>
    <xf numFmtId="0" fontId="5" fillId="6" borderId="1" applyAlignment="1" pivotButton="0" quotePrefix="0" xfId="0">
      <alignment horizontal="center" vertical="center" wrapText="1"/>
    </xf>
    <xf numFmtId="0" fontId="6" fillId="4" borderId="0" applyAlignment="1" pivotButton="0" quotePrefix="0" xfId="0">
      <alignment vertical="top" wrapText="1"/>
    </xf>
    <xf numFmtId="0" fontId="5" fillId="7" borderId="1" applyAlignment="1" pivotButton="0" quotePrefix="0" xfId="0">
      <alignment horizontal="center" vertical="center" wrapText="1"/>
    </xf>
    <xf numFmtId="0" fontId="6" fillId="0" borderId="1" applyAlignment="1" pivotButton="0" quotePrefix="0" xfId="0">
      <alignment vertical="top" wrapText="1"/>
    </xf>
    <xf numFmtId="0" fontId="6" fillId="0" borderId="1" applyAlignment="1" pivotButton="0" quotePrefix="0" xfId="0">
      <alignment horizontal="left" vertical="center"/>
    </xf>
    <xf numFmtId="0" fontId="4" fillId="0" borderId="1" applyAlignment="1" pivotButton="0" quotePrefix="0" xfId="0">
      <alignment horizontal="center" vertical="center" wrapText="1"/>
    </xf>
  </cellXfs>
  <cellStyles count="1">
    <cellStyle name="Normal" xfId="0" builtinId="0" hidden="0"/>
  </cellStyles>
  <dxfs count="6">
    <dxf>
      <font>
        <name val="Malgun Gothic"/>
        <b val="1"/>
        <color rgb="009C0006"/>
        <sz val="12"/>
      </font>
      <fill>
        <patternFill patternType="solid">
          <fgColor rgb="00FFC7CE"/>
        </patternFill>
      </fill>
    </dxf>
    <dxf>
      <font>
        <name val="Malgun Gothic"/>
        <color rgb="009C5700"/>
        <sz val="12"/>
      </font>
      <fill>
        <patternFill patternType="solid">
          <fgColor rgb="00FFEB9C"/>
        </patternFill>
      </fill>
    </dxf>
    <dxf>
      <font>
        <name val="Malgun Gothic"/>
        <color rgb="00006100"/>
        <sz val="12"/>
      </font>
      <fill>
        <patternFill patternType="solid">
          <fgColor rgb="00C6EFCE"/>
        </patternFill>
      </fill>
    </dxf>
    <dxf>
      <font>
        <name val="Malgun Gothic"/>
        <b val="1"/>
        <color rgb="001F4E78"/>
        <sz val="12"/>
      </font>
      <fill>
        <patternFill patternType="solid">
          <fgColor rgb="00D4E9D4"/>
        </patternFill>
      </fill>
    </dxf>
    <dxf>
      <font>
        <name val="Malgun Gothic"/>
        <sz val="12"/>
      </font>
      <fill>
        <patternFill patternType="solid">
          <fgColor rgb="00E5E5E5"/>
        </patternFill>
      </fill>
    </dxf>
    <dxf>
      <font>
        <name val="Malgun Gothic"/>
        <color rgb="00595959"/>
        <sz val="12"/>
      </font>
      <fill>
        <patternFill patternType="solid">
          <fgColor rgb="00F5F5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808080"/>
    <outlinePr summaryBelow="1" summaryRight="1"/>
    <pageSetUpPr/>
  </sheetPr>
  <dimension ref="B1:B72"/>
  <sheetViews>
    <sheetView zoomScale="110" workbookViewId="0">
      <selection activeCell="A1" sqref="A1"/>
    </sheetView>
  </sheetViews>
  <sheetFormatPr baseColWidth="8" defaultRowHeight="15"/>
  <cols>
    <col width="4" customWidth="1" min="1" max="1"/>
    <col width="100" customWidth="1" min="2" max="2"/>
  </cols>
  <sheetData>
    <row r="1" ht="36" customHeight="1">
      <c r="B1" s="1" t="inlineStr">
        <is>
          <t>🚀 시작하기 — UAT 피드백 작성 가이드</t>
        </is>
      </c>
    </row>
    <row r="3">
      <c r="B3" s="2" t="inlineStr">
        <is>
          <t>안녕하세요! CTR HR Hub UAT 테스트에 참여해주셔서 감사합니다.</t>
        </is>
      </c>
    </row>
    <row r="4">
      <c r="B4" s="2" t="inlineStr">
        <is>
          <t>테스트 중 발견한 문제나 아이디어가 있으면 본 파일에 편하게 적어주세요.</t>
        </is>
      </c>
    </row>
    <row r="6">
      <c r="B6" s="2" t="inlineStr">
        <is>
          <t>📌 작성 원칙 한 줄: "다음 사람이 그대로 따라해서 재현할 수 있게 적어주세요."</t>
        </is>
      </c>
    </row>
    <row r="8">
      <c r="B8" s="3" t="inlineStr">
        <is>
          <t>1️⃣ 어떻게 사용하나요?</t>
        </is>
      </c>
    </row>
    <row r="9" ht="24" customHeight="1">
      <c r="B9" s="4" t="inlineStr">
        <is>
          <t>• 화면 아래 탭(시트)에서 어떤 종류인지 고르고 → 한 줄(한 행)에 7개 칸을 채워주세요.</t>
        </is>
      </c>
    </row>
    <row r="10" ht="24" customHeight="1">
      <c r="B10" s="4" t="inlineStr">
        <is>
          <t xml:space="preserve">   🔴 이건 잘 안돼요  — 문제·버그·오류·이상한 동작 신고</t>
        </is>
      </c>
    </row>
    <row r="11" ht="24" customHeight="1">
      <c r="B11" s="4" t="inlineStr">
        <is>
          <t xml:space="preserve">   💡 이게 있으면 좋겠어요  — 새 기능·개선·편의성 제안</t>
        </is>
      </c>
    </row>
    <row r="12" ht="24" customHeight="1">
      <c r="B12" s="4" t="inlineStr">
        <is>
          <t>• 한 건당 30초 안에 적고 다음 테스트로 돌아가세요. 너무 자세히 안 적어도 OK.</t>
        </is>
      </c>
    </row>
    <row r="13" ht="24" customHeight="1">
      <c r="B13" s="4" t="inlineStr">
        <is>
          <t>• 스크린샷은 선택사항이지만, 가능하면 첨부해주시면 개발팀이 빨리 이해해요. (PrintScreen → 셀에 붙여넣기)</t>
        </is>
      </c>
    </row>
    <row r="14" ht="24" customHeight="1">
      <c r="B14" s="4" t="inlineStr">
        <is>
          <t>• 같은 문제 여러 번 보였으면 새 줄 말고 비고에 횟수만 적어주세요.</t>
        </is>
      </c>
    </row>
    <row r="16">
      <c r="B16" s="3" t="inlineStr">
        <is>
          <t>2️⃣ 색깔·별점은 어떻게 정해요?</t>
        </is>
      </c>
    </row>
    <row r="17" ht="24" customHeight="1">
      <c r="B17" s="4" t="inlineStr">
        <is>
          <t>🔴 일이 안 돼요  —  버튼 눌러도 작동 안 함, 화면이 안 뜸, 잘못된 정보가 저장됨 → 업무 자체 불가능</t>
        </is>
      </c>
    </row>
    <row r="18" ht="24" customHeight="1">
      <c r="B18" s="4" t="inlineStr">
        <is>
          <t>🟡 불편하지만 우회 가능  —  느리거나 한 번에 안 되지만 다른 방법으로는 됨 → 짜증나지만 일은 됨</t>
        </is>
      </c>
    </row>
    <row r="19" ht="24" customHeight="1">
      <c r="B19" s="4" t="inlineStr">
        <is>
          <t>🟢 사소해요  —  화면 깨짐, 글자 색깔 이상, 단순 오타 → 거슬리지만 일에는 지장 X</t>
        </is>
      </c>
    </row>
    <row r="20" ht="24" customHeight="1">
      <c r="B20" s="4" t="inlineStr">
        <is>
          <t>⭐⭐⭐ 매일 도움  —  있으면 매일 쓸 정도로 자주 필요한 기능</t>
        </is>
      </c>
    </row>
    <row r="21" ht="24" customHeight="1">
      <c r="B21" s="4" t="inlineStr">
        <is>
          <t>⭐⭐ 가끔 도움  —  한 달에 몇 번 쓸 기능</t>
        </is>
      </c>
    </row>
    <row r="22" ht="24" customHeight="1">
      <c r="B22" s="4" t="inlineStr">
        <is>
          <t>⭐ 있으면 좋겠어요  —  드물게 필요하지만 있으면 좋겠다 싶은 기능</t>
        </is>
      </c>
    </row>
    <row r="24">
      <c r="B24" s="3" t="inlineStr">
        <is>
          <t>3️⃣ 좋은 예시 (이렇게 적어주세요)</t>
        </is>
      </c>
    </row>
    <row r="25" ht="28" customHeight="1">
      <c r="B25" s="5" t="inlineStr">
        <is>
          <t xml:space="preserve">  제목: ✅ 좋은 예시 1 — 반차 잔액 차감 오류</t>
        </is>
      </c>
    </row>
    <row r="26" ht="28" customHeight="1">
      <c r="B26" s="5" t="inlineStr">
        <is>
          <t xml:space="preserve">  화면: 휴가 신청·조회</t>
        </is>
      </c>
    </row>
    <row r="27" ht="28" customHeight="1">
      <c r="B27" s="5" t="inlineStr">
        <is>
          <t xml:space="preserve">  무슨 일: 2026-05-25 오전 09:00~13:00 반차를 신청하고 매니저 승인까지 받았는데, 잔여 연차가 1일 통째로 차감되었습니다. (반차니까 0.5일만 차감되어야 할 것 같아요)</t>
        </is>
      </c>
    </row>
    <row r="28" ht="28" customHeight="1">
      <c r="B28" s="5" t="inlineStr">
        <is>
          <t xml:space="preserve">  어떻게: 반차는 0.5일만 차감되어야 합니다. 잔여 연차 표시도 14.5일로 보여줘야 할 것 같아요.</t>
        </is>
      </c>
    </row>
    <row r="29" ht="28" customHeight="1">
      <c r="B29" s="5" t="inlineStr">
        <is>
          <t xml:space="preserve">  얼마나: 🔴 일이 안 돼요</t>
        </is>
      </c>
    </row>
    <row r="31" ht="28" customHeight="1">
      <c r="B31" s="5" t="inlineStr">
        <is>
          <t xml:space="preserve">  제목: ✅ 좋은 예시 2 — 결재함 알림 안 옴</t>
        </is>
      </c>
    </row>
    <row r="32" ht="28" customHeight="1">
      <c r="B32" s="5" t="inlineStr">
        <is>
          <t xml:space="preserve">  화면: 결재함 (받은 결재)</t>
        </is>
      </c>
    </row>
    <row r="33" ht="28" customHeight="1">
      <c r="B33" s="5" t="inlineStr">
        <is>
          <t xml:space="preserve">  무슨 일: 팀원이 어제 휴가 신청을 했는데 제 결재함에 빨간 점(알림)이 안 떴어요. 직접 결재함을 들어가서야 신청 건이 있는 걸 봤어요.</t>
        </is>
      </c>
    </row>
    <row r="34" ht="28" customHeight="1">
      <c r="B34" s="5" t="inlineStr">
        <is>
          <t xml:space="preserve">  어떻게: 팀원이 결재 요청하면 사이드바 결재함 메뉴에 빨간 점이 떠야 한다고 생각해요.</t>
        </is>
      </c>
    </row>
    <row r="35" ht="28" customHeight="1">
      <c r="B35" s="5" t="inlineStr">
        <is>
          <t xml:space="preserve">  얼마나: 🟡 불편하지만 우회 가능</t>
        </is>
      </c>
    </row>
    <row r="37" ht="28" customHeight="1">
      <c r="B37" s="5" t="inlineStr">
        <is>
          <t xml:space="preserve">  제목: 💡 좋은 예시 3 — 휴가 신청 화면 개선 아이디어</t>
        </is>
      </c>
    </row>
    <row r="38" ht="28" customHeight="1">
      <c r="B38" s="5" t="inlineStr">
        <is>
          <t xml:space="preserve">  화면: 휴가 신청·조회</t>
        </is>
      </c>
    </row>
    <row r="39" ht="28" customHeight="1">
      <c r="B39" s="5" t="inlineStr">
        <is>
          <t xml:space="preserve">  무슨 일/어떤 점: 휴가 신청한 다음에 누가 결재했는지, 지금 어느 단계인지 한눈에 안 보여요. 매번 상세 페이지를 클릭해서 들어가야 알 수 있어요.</t>
        </is>
      </c>
    </row>
    <row r="40" ht="28" customHeight="1">
      <c r="B40" s="5" t="inlineStr">
        <is>
          <t xml:space="preserve">  어떻게: 신청 목록에 결재자 이름이랑 진행 단계(승인 대기 / 1차 승인 완료 / 최종 승인 등)를 같이 표시해주세요.</t>
        </is>
      </c>
    </row>
    <row r="41" ht="28" customHeight="1">
      <c r="B41" s="5" t="inlineStr">
        <is>
          <t xml:space="preserve">  얼마나: ⭐⭐⭐ 매일 도움이 될 거예요</t>
        </is>
      </c>
    </row>
    <row r="43">
      <c r="B43" s="3" t="inlineStr">
        <is>
          <t>4️⃣ 나쁜 예시 (이러면 개발팀이 못 고쳐요)</t>
        </is>
      </c>
    </row>
    <row r="44" ht="28" customHeight="1">
      <c r="B44" s="6" t="inlineStr">
        <is>
          <t xml:space="preserve">  제목: ❌ 나쁜 예시 1 — 너무 추상적</t>
        </is>
      </c>
    </row>
    <row r="45" ht="28" customHeight="1">
      <c r="B45" s="6" t="inlineStr">
        <is>
          <t xml:space="preserve">  화면: (비어있음)</t>
        </is>
      </c>
    </row>
    <row r="46" ht="28" customHeight="1">
      <c r="B46" s="6" t="inlineStr">
        <is>
          <t xml:space="preserve">  무슨 일: 휴가가 이상해요</t>
        </is>
      </c>
    </row>
    <row r="47" ht="28" customHeight="1">
      <c r="B47" s="6" t="inlineStr">
        <is>
          <t xml:space="preserve">  어떻게: 고쳐주세요</t>
        </is>
      </c>
    </row>
    <row r="48" ht="28" customHeight="1">
      <c r="B48" s="6" t="inlineStr">
        <is>
          <t xml:space="preserve">  왜 나쁜가: → 어느 화면에서, 어떤 휴가가, 어떻게 이상한지 모름. 개발팀이 재현 못해서 fix 불가능.</t>
        </is>
      </c>
    </row>
    <row r="50" ht="28" customHeight="1">
      <c r="B50" s="6" t="inlineStr">
        <is>
          <t xml:space="preserve">  제목: ❌ 나쁜 예시 2 — 감정만</t>
        </is>
      </c>
    </row>
    <row r="51" ht="28" customHeight="1">
      <c r="B51" s="6" t="inlineStr">
        <is>
          <t xml:space="preserve">  화면: 결재함 (받은 결재)</t>
        </is>
      </c>
    </row>
    <row r="52" ht="28" customHeight="1">
      <c r="B52" s="6" t="inlineStr">
        <is>
          <t xml:space="preserve">  무슨 일: 왜 이렇게 느려요?</t>
        </is>
      </c>
    </row>
    <row r="53" ht="28" customHeight="1">
      <c r="B53" s="6" t="inlineStr">
        <is>
          <t xml:space="preserve">  어떻게: 빨리 해주세요</t>
        </is>
      </c>
    </row>
    <row r="54" ht="28" customHeight="1">
      <c r="B54" s="6" t="inlineStr">
        <is>
          <t xml:space="preserve">  왜 나쁜가: → "느리다"는 게 어느 정도(5초? 30초?), 어느 액션에서, 어떤 데이터에서 그런지 모름.</t>
        </is>
      </c>
    </row>
    <row r="56">
      <c r="B56" s="3" t="inlineStr">
        <is>
          <t>5️⃣ 자주 묻는 질문</t>
        </is>
      </c>
    </row>
    <row r="57" ht="22" customHeight="1">
      <c r="B57" s="7" t="inlineStr">
        <is>
          <t>Q. 한 건당 얼마나 적어야 해요?</t>
        </is>
      </c>
    </row>
    <row r="58" ht="24" customHeight="1">
      <c r="B58" s="4" t="inlineStr">
        <is>
          <t>A. 3~5줄이면 충분해요. 길게 적을 필요 없어요. 다만 화면 이름과 "무슨 일이 있었나요"는 꼭 채워주세요.</t>
        </is>
      </c>
    </row>
    <row r="60" ht="22" customHeight="1">
      <c r="B60" s="7" t="inlineStr">
        <is>
          <t>Q. 스크린샷은 꼭 첨부해야 하나요?</t>
        </is>
      </c>
    </row>
    <row r="61" ht="24" customHeight="1">
      <c r="B61" s="4" t="inlineStr">
        <is>
          <t>A. 선택사항입니다. 화면 깨짐·오류 메시지처럼 그림이 도움 되는 건만 첨부해주세요. PrintScreen 후 셀에 Ctrl+V로 붙여넣기.</t>
        </is>
      </c>
    </row>
    <row r="63" ht="22" customHeight="1">
      <c r="B63" s="7" t="inlineStr">
        <is>
          <t>Q. 한 건인지 두 건인지 모르겠어요.</t>
        </is>
      </c>
    </row>
    <row r="64" ht="24" customHeight="1">
      <c r="B64" s="4" t="inlineStr">
        <is>
          <t>A. 일단 따로 적어주세요. 관리자가 정리할 때 합치면 돼요.</t>
        </is>
      </c>
    </row>
    <row r="66" ht="22" customHeight="1">
      <c r="B66" s="7" t="inlineStr">
        <is>
          <t>Q. 다른 사람이 이미 신고한 것 같아요.</t>
        </is>
      </c>
    </row>
    <row r="67" ht="24" customHeight="1">
      <c r="B67" s="4" t="inlineStr">
        <is>
          <t>A. 그래도 적어주세요. 같은 문제를 여러 사람이 신고하면 우선순위가 올라가요.</t>
        </is>
      </c>
    </row>
    <row r="69" ht="22" customHeight="1">
      <c r="B69" s="7" t="inlineStr">
        <is>
          <t>Q. 비밀번호 같은 민감 정보가 들어 있어요.</t>
        </is>
      </c>
    </row>
    <row r="70" ht="24" customHeight="1">
      <c r="B70" s="4" t="inlineStr">
        <is>
          <t>A. 스크린샷에서 민감 정보는 가려주세요(빨간 박스로 칠하기 등). 텍스트에도 적지 마세요.</t>
        </is>
      </c>
    </row>
    <row r="72" ht="40" customHeight="1">
      <c r="B72" s="8" t="inlineStr">
        <is>
          <t>💌 도움이 필요하면 언제든 UAT 관리자에게 직접 문의하세요. 완벽하게 안 적어도 괜찮습니다 — "있는 그대로" 적어주시는 게 가장 도움이 됩니다.</t>
        </is>
      </c>
    </row>
  </sheetData>
  <mergeCells count="1">
    <mergeCell ref="B1"/>
  </mergeCells>
  <pageMargins left="0.75" right="0.75" top="1" bottom="1" header="0.5" footer="0.5"/>
</worksheet>
</file>

<file path=xl/worksheets/sheet2.xml><?xml version="1.0" encoding="utf-8"?>
<worksheet xmlns="http://schemas.openxmlformats.org/spreadsheetml/2006/main">
  <sheetPr>
    <tabColor rgb="00C00000"/>
    <outlinePr summaryBelow="1" summaryRight="1"/>
    <pageSetUpPr/>
  </sheetPr>
  <dimension ref="A1:G51"/>
  <sheetViews>
    <sheetView zoomScale="110" workbookViewId="0">
      <pane ySplit="1" topLeftCell="A2" activePane="bottomLeft" state="frozen"/>
      <selection pane="bottomLeft" activeCell="A1" sqref="A1"/>
    </sheetView>
  </sheetViews>
  <sheetFormatPr baseColWidth="8" defaultRowHeight="15"/>
  <cols>
    <col width="12" customWidth="1" min="1" max="1"/>
    <col width="14" customWidth="1" min="2" max="2"/>
    <col width="24" customWidth="1" min="3" max="3"/>
    <col width="55" customWidth="1" min="4" max="4"/>
    <col width="45" customWidth="1" min="5" max="5"/>
    <col width="28" customWidth="1" min="6" max="6"/>
    <col width="25" customWidth="1" min="7" max="7"/>
  </cols>
  <sheetData>
    <row r="1" ht="36" customHeight="1">
      <c r="A1" s="9" t="inlineStr">
        <is>
          <t>이름</t>
        </is>
      </c>
      <c r="B1" s="9" t="inlineStr">
        <is>
          <t>발견 날짜</t>
        </is>
      </c>
      <c r="C1" s="9" t="inlineStr">
        <is>
          <t>어느 화면에서?</t>
        </is>
      </c>
      <c r="D1" s="9" t="inlineStr">
        <is>
          <t>무슨 일이 있었나요?</t>
        </is>
      </c>
      <c r="E1" s="9" t="inlineStr">
        <is>
          <t>어떻게 됐으면 좋겠나요?</t>
        </is>
      </c>
      <c r="F1" s="9" t="inlineStr">
        <is>
          <t>얼마나 불편한가요?</t>
        </is>
      </c>
      <c r="G1" s="9" t="inlineStr">
        <is>
          <t>스크린샷 (선택)</t>
        </is>
      </c>
    </row>
    <row r="2" ht="80" customHeight="1">
      <c r="A2" s="10" t="n"/>
      <c r="B2" s="10" t="n"/>
      <c r="C2" s="10" t="n"/>
      <c r="D2" s="10" t="n"/>
      <c r="E2" s="10" t="n"/>
      <c r="F2" s="10" t="n"/>
      <c r="G2" s="10" t="n"/>
    </row>
    <row r="3" ht="80" customHeight="1">
      <c r="A3" s="10" t="n"/>
      <c r="B3" s="10" t="n"/>
      <c r="C3" s="10" t="n"/>
      <c r="D3" s="10" t="n"/>
      <c r="E3" s="10" t="n"/>
      <c r="F3" s="10" t="n"/>
      <c r="G3" s="10" t="n"/>
    </row>
    <row r="4" ht="80" customHeight="1">
      <c r="A4" s="10" t="n"/>
      <c r="B4" s="10" t="n"/>
      <c r="C4" s="10" t="n"/>
      <c r="D4" s="10" t="n"/>
      <c r="E4" s="10" t="n"/>
      <c r="F4" s="10" t="n"/>
      <c r="G4" s="10" t="n"/>
    </row>
    <row r="5" ht="80" customHeight="1">
      <c r="A5" s="10" t="n"/>
      <c r="B5" s="10" t="n"/>
      <c r="C5" s="10" t="n"/>
      <c r="D5" s="10" t="n"/>
      <c r="E5" s="10" t="n"/>
      <c r="F5" s="10" t="n"/>
      <c r="G5" s="10" t="n"/>
    </row>
    <row r="6" ht="80" customHeight="1">
      <c r="A6" s="10" t="n"/>
      <c r="B6" s="10" t="n"/>
      <c r="C6" s="10" t="n"/>
      <c r="D6" s="10" t="n"/>
      <c r="E6" s="10" t="n"/>
      <c r="F6" s="10" t="n"/>
      <c r="G6" s="10" t="n"/>
    </row>
    <row r="7" ht="80" customHeight="1">
      <c r="A7" s="10" t="n"/>
      <c r="B7" s="10" t="n"/>
      <c r="C7" s="10" t="n"/>
      <c r="D7" s="10" t="n"/>
      <c r="E7" s="10" t="n"/>
      <c r="F7" s="10" t="n"/>
      <c r="G7" s="10" t="n"/>
    </row>
    <row r="8" ht="80" customHeight="1">
      <c r="A8" s="10" t="n"/>
      <c r="B8" s="10" t="n"/>
      <c r="C8" s="10" t="n"/>
      <c r="D8" s="10" t="n"/>
      <c r="E8" s="10" t="n"/>
      <c r="F8" s="10" t="n"/>
      <c r="G8" s="10" t="n"/>
    </row>
    <row r="9" ht="80" customHeight="1">
      <c r="A9" s="10" t="n"/>
      <c r="B9" s="10" t="n"/>
      <c r="C9" s="10" t="n"/>
      <c r="D9" s="10" t="n"/>
      <c r="E9" s="10" t="n"/>
      <c r="F9" s="10" t="n"/>
      <c r="G9" s="10" t="n"/>
    </row>
    <row r="10" ht="80" customHeight="1">
      <c r="A10" s="10" t="n"/>
      <c r="B10" s="10" t="n"/>
      <c r="C10" s="10" t="n"/>
      <c r="D10" s="10" t="n"/>
      <c r="E10" s="10" t="n"/>
      <c r="F10" s="10" t="n"/>
      <c r="G10" s="10" t="n"/>
    </row>
    <row r="11" ht="80" customHeight="1">
      <c r="A11" s="10" t="n"/>
      <c r="B11" s="10" t="n"/>
      <c r="C11" s="10" t="n"/>
      <c r="D11" s="10" t="n"/>
      <c r="E11" s="10" t="n"/>
      <c r="F11" s="10" t="n"/>
      <c r="G11" s="10" t="n"/>
    </row>
    <row r="12" ht="80" customHeight="1">
      <c r="A12" s="10" t="n"/>
      <c r="B12" s="10" t="n"/>
      <c r="C12" s="10" t="n"/>
      <c r="D12" s="10" t="n"/>
      <c r="E12" s="10" t="n"/>
      <c r="F12" s="10" t="n"/>
      <c r="G12" s="10" t="n"/>
    </row>
    <row r="13" ht="80" customHeight="1">
      <c r="A13" s="10" t="n"/>
      <c r="B13" s="10" t="n"/>
      <c r="C13" s="10" t="n"/>
      <c r="D13" s="10" t="n"/>
      <c r="E13" s="10" t="n"/>
      <c r="F13" s="10" t="n"/>
      <c r="G13" s="10" t="n"/>
    </row>
    <row r="14" ht="80" customHeight="1">
      <c r="A14" s="10" t="n"/>
      <c r="B14" s="10" t="n"/>
      <c r="C14" s="10" t="n"/>
      <c r="D14" s="10" t="n"/>
      <c r="E14" s="10" t="n"/>
      <c r="F14" s="10" t="n"/>
      <c r="G14" s="10" t="n"/>
    </row>
    <row r="15" ht="80" customHeight="1">
      <c r="A15" s="10" t="n"/>
      <c r="B15" s="10" t="n"/>
      <c r="C15" s="10" t="n"/>
      <c r="D15" s="10" t="n"/>
      <c r="E15" s="10" t="n"/>
      <c r="F15" s="10" t="n"/>
      <c r="G15" s="10" t="n"/>
    </row>
    <row r="16" ht="80" customHeight="1">
      <c r="A16" s="10" t="n"/>
      <c r="B16" s="10" t="n"/>
      <c r="C16" s="10" t="n"/>
      <c r="D16" s="10" t="n"/>
      <c r="E16" s="10" t="n"/>
      <c r="F16" s="10" t="n"/>
      <c r="G16" s="10" t="n"/>
    </row>
    <row r="17" ht="80" customHeight="1">
      <c r="A17" s="10" t="n"/>
      <c r="B17" s="10" t="n"/>
      <c r="C17" s="10" t="n"/>
      <c r="D17" s="10" t="n"/>
      <c r="E17" s="10" t="n"/>
      <c r="F17" s="10" t="n"/>
      <c r="G17" s="10" t="n"/>
    </row>
    <row r="18" ht="80" customHeight="1">
      <c r="A18" s="10" t="n"/>
      <c r="B18" s="10" t="n"/>
      <c r="C18" s="10" t="n"/>
      <c r="D18" s="10" t="n"/>
      <c r="E18" s="10" t="n"/>
      <c r="F18" s="10" t="n"/>
      <c r="G18" s="10" t="n"/>
    </row>
    <row r="19" ht="80" customHeight="1">
      <c r="A19" s="10" t="n"/>
      <c r="B19" s="10" t="n"/>
      <c r="C19" s="10" t="n"/>
      <c r="D19" s="10" t="n"/>
      <c r="E19" s="10" t="n"/>
      <c r="F19" s="10" t="n"/>
      <c r="G19" s="10" t="n"/>
    </row>
    <row r="20" ht="80" customHeight="1">
      <c r="A20" s="10" t="n"/>
      <c r="B20" s="10" t="n"/>
      <c r="C20" s="10" t="n"/>
      <c r="D20" s="10" t="n"/>
      <c r="E20" s="10" t="n"/>
      <c r="F20" s="10" t="n"/>
      <c r="G20" s="10" t="n"/>
    </row>
    <row r="21" ht="80" customHeight="1">
      <c r="A21" s="10" t="n"/>
      <c r="B21" s="10" t="n"/>
      <c r="C21" s="10" t="n"/>
      <c r="D21" s="10" t="n"/>
      <c r="E21" s="10" t="n"/>
      <c r="F21" s="10" t="n"/>
      <c r="G21" s="10" t="n"/>
    </row>
    <row r="22" ht="80" customHeight="1">
      <c r="A22" s="10" t="n"/>
      <c r="B22" s="10" t="n"/>
      <c r="C22" s="10" t="n"/>
      <c r="D22" s="10" t="n"/>
      <c r="E22" s="10" t="n"/>
      <c r="F22" s="10" t="n"/>
      <c r="G22" s="10" t="n"/>
    </row>
    <row r="23" ht="80" customHeight="1">
      <c r="A23" s="10" t="n"/>
      <c r="B23" s="10" t="n"/>
      <c r="C23" s="10" t="n"/>
      <c r="D23" s="10" t="n"/>
      <c r="E23" s="10" t="n"/>
      <c r="F23" s="10" t="n"/>
      <c r="G23" s="10" t="n"/>
    </row>
    <row r="24" ht="80" customHeight="1">
      <c r="A24" s="10" t="n"/>
      <c r="B24" s="10" t="n"/>
      <c r="C24" s="10" t="n"/>
      <c r="D24" s="10" t="n"/>
      <c r="E24" s="10" t="n"/>
      <c r="F24" s="10" t="n"/>
      <c r="G24" s="10" t="n"/>
    </row>
    <row r="25" ht="80" customHeight="1">
      <c r="A25" s="10" t="n"/>
      <c r="B25" s="10" t="n"/>
      <c r="C25" s="10" t="n"/>
      <c r="D25" s="10" t="n"/>
      <c r="E25" s="10" t="n"/>
      <c r="F25" s="10" t="n"/>
      <c r="G25" s="10" t="n"/>
    </row>
    <row r="26" ht="80" customHeight="1">
      <c r="A26" s="10" t="n"/>
      <c r="B26" s="10" t="n"/>
      <c r="C26" s="10" t="n"/>
      <c r="D26" s="10" t="n"/>
      <c r="E26" s="10" t="n"/>
      <c r="F26" s="10" t="n"/>
      <c r="G26" s="10" t="n"/>
    </row>
    <row r="27" ht="80" customHeight="1">
      <c r="A27" s="10" t="n"/>
      <c r="B27" s="10" t="n"/>
      <c r="C27" s="10" t="n"/>
      <c r="D27" s="10" t="n"/>
      <c r="E27" s="10" t="n"/>
      <c r="F27" s="10" t="n"/>
      <c r="G27" s="10" t="n"/>
    </row>
    <row r="28" ht="80" customHeight="1">
      <c r="A28" s="10" t="n"/>
      <c r="B28" s="10" t="n"/>
      <c r="C28" s="10" t="n"/>
      <c r="D28" s="10" t="n"/>
      <c r="E28" s="10" t="n"/>
      <c r="F28" s="10" t="n"/>
      <c r="G28" s="10" t="n"/>
    </row>
    <row r="29" ht="80" customHeight="1">
      <c r="A29" s="10" t="n"/>
      <c r="B29" s="10" t="n"/>
      <c r="C29" s="10" t="n"/>
      <c r="D29" s="10" t="n"/>
      <c r="E29" s="10" t="n"/>
      <c r="F29" s="10" t="n"/>
      <c r="G29" s="10" t="n"/>
    </row>
    <row r="30" ht="80" customHeight="1">
      <c r="A30" s="10" t="n"/>
      <c r="B30" s="10" t="n"/>
      <c r="C30" s="10" t="n"/>
      <c r="D30" s="10" t="n"/>
      <c r="E30" s="10" t="n"/>
      <c r="F30" s="10" t="n"/>
      <c r="G30" s="10" t="n"/>
    </row>
    <row r="31" ht="80" customHeight="1">
      <c r="A31" s="10" t="n"/>
      <c r="B31" s="10" t="n"/>
      <c r="C31" s="10" t="n"/>
      <c r="D31" s="10" t="n"/>
      <c r="E31" s="10" t="n"/>
      <c r="F31" s="10" t="n"/>
      <c r="G31" s="10" t="n"/>
    </row>
    <row r="32" ht="80" customHeight="1">
      <c r="A32" s="10" t="n"/>
      <c r="B32" s="10" t="n"/>
      <c r="C32" s="10" t="n"/>
      <c r="D32" s="10" t="n"/>
      <c r="E32" s="10" t="n"/>
      <c r="F32" s="10" t="n"/>
      <c r="G32" s="10" t="n"/>
    </row>
    <row r="33" ht="80" customHeight="1">
      <c r="A33" s="10" t="n"/>
      <c r="B33" s="10" t="n"/>
      <c r="C33" s="10" t="n"/>
      <c r="D33" s="10" t="n"/>
      <c r="E33" s="10" t="n"/>
      <c r="F33" s="10" t="n"/>
      <c r="G33" s="10" t="n"/>
    </row>
    <row r="34" ht="80" customHeight="1">
      <c r="A34" s="10" t="n"/>
      <c r="B34" s="10" t="n"/>
      <c r="C34" s="10" t="n"/>
      <c r="D34" s="10" t="n"/>
      <c r="E34" s="10" t="n"/>
      <c r="F34" s="10" t="n"/>
      <c r="G34" s="10" t="n"/>
    </row>
    <row r="35" ht="80" customHeight="1">
      <c r="A35" s="10" t="n"/>
      <c r="B35" s="10" t="n"/>
      <c r="C35" s="10" t="n"/>
      <c r="D35" s="10" t="n"/>
      <c r="E35" s="10" t="n"/>
      <c r="F35" s="10" t="n"/>
      <c r="G35" s="10" t="n"/>
    </row>
    <row r="36" ht="80" customHeight="1">
      <c r="A36" s="10" t="n"/>
      <c r="B36" s="10" t="n"/>
      <c r="C36" s="10" t="n"/>
      <c r="D36" s="10" t="n"/>
      <c r="E36" s="10" t="n"/>
      <c r="F36" s="10" t="n"/>
      <c r="G36" s="10" t="n"/>
    </row>
    <row r="37" ht="80" customHeight="1">
      <c r="A37" s="10" t="n"/>
      <c r="B37" s="10" t="n"/>
      <c r="C37" s="10" t="n"/>
      <c r="D37" s="10" t="n"/>
      <c r="E37" s="10" t="n"/>
      <c r="F37" s="10" t="n"/>
      <c r="G37" s="10" t="n"/>
    </row>
    <row r="38" ht="80" customHeight="1">
      <c r="A38" s="10" t="n"/>
      <c r="B38" s="10" t="n"/>
      <c r="C38" s="10" t="n"/>
      <c r="D38" s="10" t="n"/>
      <c r="E38" s="10" t="n"/>
      <c r="F38" s="10" t="n"/>
      <c r="G38" s="10" t="n"/>
    </row>
    <row r="39" ht="80" customHeight="1">
      <c r="A39" s="10" t="n"/>
      <c r="B39" s="10" t="n"/>
      <c r="C39" s="10" t="n"/>
      <c r="D39" s="10" t="n"/>
      <c r="E39" s="10" t="n"/>
      <c r="F39" s="10" t="n"/>
      <c r="G39" s="10" t="n"/>
    </row>
    <row r="40" ht="80" customHeight="1">
      <c r="A40" s="10" t="n"/>
      <c r="B40" s="10" t="n"/>
      <c r="C40" s="10" t="n"/>
      <c r="D40" s="10" t="n"/>
      <c r="E40" s="10" t="n"/>
      <c r="F40" s="10" t="n"/>
      <c r="G40" s="10" t="n"/>
    </row>
    <row r="41" ht="80" customHeight="1">
      <c r="A41" s="10" t="n"/>
      <c r="B41" s="10" t="n"/>
      <c r="C41" s="10" t="n"/>
      <c r="D41" s="10" t="n"/>
      <c r="E41" s="10" t="n"/>
      <c r="F41" s="10" t="n"/>
      <c r="G41" s="10" t="n"/>
    </row>
    <row r="42" ht="80" customHeight="1">
      <c r="A42" s="10" t="n"/>
      <c r="B42" s="10" t="n"/>
      <c r="C42" s="10" t="n"/>
      <c r="D42" s="10" t="n"/>
      <c r="E42" s="10" t="n"/>
      <c r="F42" s="10" t="n"/>
      <c r="G42" s="10" t="n"/>
    </row>
    <row r="43" ht="80" customHeight="1">
      <c r="A43" s="10" t="n"/>
      <c r="B43" s="10" t="n"/>
      <c r="C43" s="10" t="n"/>
      <c r="D43" s="10" t="n"/>
      <c r="E43" s="10" t="n"/>
      <c r="F43" s="10" t="n"/>
      <c r="G43" s="10" t="n"/>
    </row>
    <row r="44" ht="80" customHeight="1">
      <c r="A44" s="10" t="n"/>
      <c r="B44" s="10" t="n"/>
      <c r="C44" s="10" t="n"/>
      <c r="D44" s="10" t="n"/>
      <c r="E44" s="10" t="n"/>
      <c r="F44" s="10" t="n"/>
      <c r="G44" s="10" t="n"/>
    </row>
    <row r="45" ht="80" customHeight="1">
      <c r="A45" s="10" t="n"/>
      <c r="B45" s="10" t="n"/>
      <c r="C45" s="10" t="n"/>
      <c r="D45" s="10" t="n"/>
      <c r="E45" s="10" t="n"/>
      <c r="F45" s="10" t="n"/>
      <c r="G45" s="10" t="n"/>
    </row>
    <row r="46" ht="80" customHeight="1">
      <c r="A46" s="10" t="n"/>
      <c r="B46" s="10" t="n"/>
      <c r="C46" s="10" t="n"/>
      <c r="D46" s="10" t="n"/>
      <c r="E46" s="10" t="n"/>
      <c r="F46" s="10" t="n"/>
      <c r="G46" s="10" t="n"/>
    </row>
    <row r="47" ht="80" customHeight="1">
      <c r="A47" s="10" t="n"/>
      <c r="B47" s="10" t="n"/>
      <c r="C47" s="10" t="n"/>
      <c r="D47" s="10" t="n"/>
      <c r="E47" s="10" t="n"/>
      <c r="F47" s="10" t="n"/>
      <c r="G47" s="10" t="n"/>
    </row>
    <row r="48" ht="80" customHeight="1">
      <c r="A48" s="10" t="n"/>
      <c r="B48" s="10" t="n"/>
      <c r="C48" s="10" t="n"/>
      <c r="D48" s="10" t="n"/>
      <c r="E48" s="10" t="n"/>
      <c r="F48" s="10" t="n"/>
      <c r="G48" s="10" t="n"/>
    </row>
    <row r="49" ht="80" customHeight="1">
      <c r="A49" s="10" t="n"/>
      <c r="B49" s="10" t="n"/>
      <c r="C49" s="10" t="n"/>
      <c r="D49" s="10" t="n"/>
      <c r="E49" s="10" t="n"/>
      <c r="F49" s="10" t="n"/>
      <c r="G49" s="10" t="n"/>
    </row>
    <row r="50" ht="80" customHeight="1">
      <c r="A50" s="10" t="n"/>
      <c r="B50" s="10" t="n"/>
      <c r="C50" s="10" t="n"/>
      <c r="D50" s="10" t="n"/>
      <c r="E50" s="10" t="n"/>
      <c r="F50" s="10" t="n"/>
      <c r="G50" s="10" t="n"/>
    </row>
    <row r="51" ht="80" customHeight="1">
      <c r="A51" s="10" t="n"/>
      <c r="B51" s="10" t="n"/>
      <c r="C51" s="10" t="n"/>
      <c r="D51" s="10" t="n"/>
      <c r="E51" s="10" t="n"/>
      <c r="F51" s="10" t="n"/>
      <c r="G51" s="10" t="n"/>
    </row>
  </sheetData>
  <conditionalFormatting sqref="F2:F51">
    <cfRule type="cellIs" priority="1" operator="equal" dxfId="0">
      <formula>"🔴 일이 안 돼요 (업무 불가능)"</formula>
    </cfRule>
    <cfRule type="cellIs" priority="2" operator="equal" dxfId="1">
      <formula>"🟡 불편하지만 우회 가능"</formula>
    </cfRule>
    <cfRule type="cellIs" priority="3" operator="equal" dxfId="2">
      <formula>"🟢 사소해요 (별 문제 없음)"</formula>
    </cfRule>
  </conditionalFormatting>
  <dataValidations count="2">
    <dataValidation sqref="C2:C51" showDropDown="0" showInputMessage="0" showErrorMessage="0" allowBlank="1" type="list">
      <formula1>"홈 / 알림,나의 공간 (내 정보),휴가 신청·조회,휴직 신청·조회,출퇴근,결재함 (받은 결재),내 결재 신청 내역,급여명세서,연말 정산,내 목표·평가,분기 리뷰,인정·칭찬,리포트·통계,직원 관리 (HR),조직도·부서 관리 (HR),근태 관리 (HR),휴가 관리 (HR),급여 관리 (HR),결재 흐름 설정 (HR),채용 관리 (HR),평가 관리 (HR),보상 관리 (HR),온보딩·오프보딩 (HR),마스터데이터·설정 (HR),컴플라이언스 (HR),기타"</formula1>
    </dataValidation>
    <dataValidation sqref="F2:F51" showDropDown="0" showInputMessage="0" showErrorMessage="0" allowBlank="1" type="list">
      <formula1>"🔴 일이 안 돼요 (업무 불가능),🟡 불편하지만 우회 가능,🟢 사소해요 (별 문제 없음)"</formula1>
    </dataValidation>
  </dataValidations>
  <pageMargins left="0.75" right="0.75" top="1" bottom="1" header="0.5" footer="0.5"/>
</worksheet>
</file>

<file path=xl/worksheets/sheet3.xml><?xml version="1.0" encoding="utf-8"?>
<worksheet xmlns="http://schemas.openxmlformats.org/spreadsheetml/2006/main">
  <sheetPr>
    <tabColor rgb="00FFC000"/>
    <outlinePr summaryBelow="1" summaryRight="1"/>
    <pageSetUpPr/>
  </sheetPr>
  <dimension ref="A1:G51"/>
  <sheetViews>
    <sheetView zoomScale="110" workbookViewId="0">
      <pane ySplit="1" topLeftCell="A2" activePane="bottomLeft" state="frozen"/>
      <selection pane="bottomLeft" activeCell="A1" sqref="A1"/>
    </sheetView>
  </sheetViews>
  <sheetFormatPr baseColWidth="8" defaultRowHeight="15"/>
  <cols>
    <col width="12" customWidth="1" min="1" max="1"/>
    <col width="14" customWidth="1" min="2" max="2"/>
    <col width="24" customWidth="1" min="3" max="3"/>
    <col width="55" customWidth="1" min="4" max="4"/>
    <col width="45" customWidth="1" min="5" max="5"/>
    <col width="28" customWidth="1" min="6" max="6"/>
    <col width="25" customWidth="1" min="7" max="7"/>
  </cols>
  <sheetData>
    <row r="1" ht="36" customHeight="1">
      <c r="A1" s="11" t="inlineStr">
        <is>
          <t>이름</t>
        </is>
      </c>
      <c r="B1" s="11" t="inlineStr">
        <is>
          <t>작성 날짜</t>
        </is>
      </c>
      <c r="C1" s="11" t="inlineStr">
        <is>
          <t>어느 화면?</t>
        </is>
      </c>
      <c r="D1" s="11" t="inlineStr">
        <is>
          <t>어떤 점이 아쉬워요?</t>
        </is>
      </c>
      <c r="E1" s="11" t="inlineStr">
        <is>
          <t>어떻게 해주세요?</t>
        </is>
      </c>
      <c r="F1" s="11" t="inlineStr">
        <is>
          <t>얼마나 도움이 될까요?</t>
        </is>
      </c>
      <c r="G1" s="11" t="inlineStr">
        <is>
          <t>스크린샷 (선택)</t>
        </is>
      </c>
    </row>
    <row r="2" ht="80" customHeight="1">
      <c r="A2" s="10" t="n"/>
      <c r="B2" s="10" t="n"/>
      <c r="C2" s="10" t="n"/>
      <c r="D2" s="10" t="n"/>
      <c r="E2" s="10" t="n"/>
      <c r="F2" s="10" t="n"/>
      <c r="G2" s="10" t="n"/>
    </row>
    <row r="3" ht="80" customHeight="1">
      <c r="A3" s="10" t="n"/>
      <c r="B3" s="10" t="n"/>
      <c r="C3" s="10" t="n"/>
      <c r="D3" s="10" t="n"/>
      <c r="E3" s="10" t="n"/>
      <c r="F3" s="10" t="n"/>
      <c r="G3" s="10" t="n"/>
    </row>
    <row r="4" ht="80" customHeight="1">
      <c r="A4" s="10" t="n"/>
      <c r="B4" s="10" t="n"/>
      <c r="C4" s="10" t="n"/>
      <c r="D4" s="10" t="n"/>
      <c r="E4" s="10" t="n"/>
      <c r="F4" s="10" t="n"/>
      <c r="G4" s="10" t="n"/>
    </row>
    <row r="5" ht="80" customHeight="1">
      <c r="A5" s="10" t="n"/>
      <c r="B5" s="10" t="n"/>
      <c r="C5" s="10" t="n"/>
      <c r="D5" s="10" t="n"/>
      <c r="E5" s="10" t="n"/>
      <c r="F5" s="10" t="n"/>
      <c r="G5" s="10" t="n"/>
    </row>
    <row r="6" ht="80" customHeight="1">
      <c r="A6" s="10" t="n"/>
      <c r="B6" s="10" t="n"/>
      <c r="C6" s="10" t="n"/>
      <c r="D6" s="10" t="n"/>
      <c r="E6" s="10" t="n"/>
      <c r="F6" s="10" t="n"/>
      <c r="G6" s="10" t="n"/>
    </row>
    <row r="7" ht="80" customHeight="1">
      <c r="A7" s="10" t="n"/>
      <c r="B7" s="10" t="n"/>
      <c r="C7" s="10" t="n"/>
      <c r="D7" s="10" t="n"/>
      <c r="E7" s="10" t="n"/>
      <c r="F7" s="10" t="n"/>
      <c r="G7" s="10" t="n"/>
    </row>
    <row r="8" ht="80" customHeight="1">
      <c r="A8" s="10" t="n"/>
      <c r="B8" s="10" t="n"/>
      <c r="C8" s="10" t="n"/>
      <c r="D8" s="10" t="n"/>
      <c r="E8" s="10" t="n"/>
      <c r="F8" s="10" t="n"/>
      <c r="G8" s="10" t="n"/>
    </row>
    <row r="9" ht="80" customHeight="1">
      <c r="A9" s="10" t="n"/>
      <c r="B9" s="10" t="n"/>
      <c r="C9" s="10" t="n"/>
      <c r="D9" s="10" t="n"/>
      <c r="E9" s="10" t="n"/>
      <c r="F9" s="10" t="n"/>
      <c r="G9" s="10" t="n"/>
    </row>
    <row r="10" ht="80" customHeight="1">
      <c r="A10" s="10" t="n"/>
      <c r="B10" s="10" t="n"/>
      <c r="C10" s="10" t="n"/>
      <c r="D10" s="10" t="n"/>
      <c r="E10" s="10" t="n"/>
      <c r="F10" s="10" t="n"/>
      <c r="G10" s="10" t="n"/>
    </row>
    <row r="11" ht="80" customHeight="1">
      <c r="A11" s="10" t="n"/>
      <c r="B11" s="10" t="n"/>
      <c r="C11" s="10" t="n"/>
      <c r="D11" s="10" t="n"/>
      <c r="E11" s="10" t="n"/>
      <c r="F11" s="10" t="n"/>
      <c r="G11" s="10" t="n"/>
    </row>
    <row r="12" ht="80" customHeight="1">
      <c r="A12" s="10" t="n"/>
      <c r="B12" s="10" t="n"/>
      <c r="C12" s="10" t="n"/>
      <c r="D12" s="10" t="n"/>
      <c r="E12" s="10" t="n"/>
      <c r="F12" s="10" t="n"/>
      <c r="G12" s="10" t="n"/>
    </row>
    <row r="13" ht="80" customHeight="1">
      <c r="A13" s="10" t="n"/>
      <c r="B13" s="10" t="n"/>
      <c r="C13" s="10" t="n"/>
      <c r="D13" s="10" t="n"/>
      <c r="E13" s="10" t="n"/>
      <c r="F13" s="10" t="n"/>
      <c r="G13" s="10" t="n"/>
    </row>
    <row r="14" ht="80" customHeight="1">
      <c r="A14" s="10" t="n"/>
      <c r="B14" s="10" t="n"/>
      <c r="C14" s="10" t="n"/>
      <c r="D14" s="10" t="n"/>
      <c r="E14" s="10" t="n"/>
      <c r="F14" s="10" t="n"/>
      <c r="G14" s="10" t="n"/>
    </row>
    <row r="15" ht="80" customHeight="1">
      <c r="A15" s="10" t="n"/>
      <c r="B15" s="10" t="n"/>
      <c r="C15" s="10" t="n"/>
      <c r="D15" s="10" t="n"/>
      <c r="E15" s="10" t="n"/>
      <c r="F15" s="10" t="n"/>
      <c r="G15" s="10" t="n"/>
    </row>
    <row r="16" ht="80" customHeight="1">
      <c r="A16" s="10" t="n"/>
      <c r="B16" s="10" t="n"/>
      <c r="C16" s="10" t="n"/>
      <c r="D16" s="10" t="n"/>
      <c r="E16" s="10" t="n"/>
      <c r="F16" s="10" t="n"/>
      <c r="G16" s="10" t="n"/>
    </row>
    <row r="17" ht="80" customHeight="1">
      <c r="A17" s="10" t="n"/>
      <c r="B17" s="10" t="n"/>
      <c r="C17" s="10" t="n"/>
      <c r="D17" s="10" t="n"/>
      <c r="E17" s="10" t="n"/>
      <c r="F17" s="10" t="n"/>
      <c r="G17" s="10" t="n"/>
    </row>
    <row r="18" ht="80" customHeight="1">
      <c r="A18" s="10" t="n"/>
      <c r="B18" s="10" t="n"/>
      <c r="C18" s="10" t="n"/>
      <c r="D18" s="10" t="n"/>
      <c r="E18" s="10" t="n"/>
      <c r="F18" s="10" t="n"/>
      <c r="G18" s="10" t="n"/>
    </row>
    <row r="19" ht="80" customHeight="1">
      <c r="A19" s="10" t="n"/>
      <c r="B19" s="10" t="n"/>
      <c r="C19" s="10" t="n"/>
      <c r="D19" s="10" t="n"/>
      <c r="E19" s="10" t="n"/>
      <c r="F19" s="10" t="n"/>
      <c r="G19" s="10" t="n"/>
    </row>
    <row r="20" ht="80" customHeight="1">
      <c r="A20" s="10" t="n"/>
      <c r="B20" s="10" t="n"/>
      <c r="C20" s="10" t="n"/>
      <c r="D20" s="10" t="n"/>
      <c r="E20" s="10" t="n"/>
      <c r="F20" s="10" t="n"/>
      <c r="G20" s="10" t="n"/>
    </row>
    <row r="21" ht="80" customHeight="1">
      <c r="A21" s="10" t="n"/>
      <c r="B21" s="10" t="n"/>
      <c r="C21" s="10" t="n"/>
      <c r="D21" s="10" t="n"/>
      <c r="E21" s="10" t="n"/>
      <c r="F21" s="10" t="n"/>
      <c r="G21" s="10" t="n"/>
    </row>
    <row r="22" ht="80" customHeight="1">
      <c r="A22" s="10" t="n"/>
      <c r="B22" s="10" t="n"/>
      <c r="C22" s="10" t="n"/>
      <c r="D22" s="10" t="n"/>
      <c r="E22" s="10" t="n"/>
      <c r="F22" s="10" t="n"/>
      <c r="G22" s="10" t="n"/>
    </row>
    <row r="23" ht="80" customHeight="1">
      <c r="A23" s="10" t="n"/>
      <c r="B23" s="10" t="n"/>
      <c r="C23" s="10" t="n"/>
      <c r="D23" s="10" t="n"/>
      <c r="E23" s="10" t="n"/>
      <c r="F23" s="10" t="n"/>
      <c r="G23" s="10" t="n"/>
    </row>
    <row r="24" ht="80" customHeight="1">
      <c r="A24" s="10" t="n"/>
      <c r="B24" s="10" t="n"/>
      <c r="C24" s="10" t="n"/>
      <c r="D24" s="10" t="n"/>
      <c r="E24" s="10" t="n"/>
      <c r="F24" s="10" t="n"/>
      <c r="G24" s="10" t="n"/>
    </row>
    <row r="25" ht="80" customHeight="1">
      <c r="A25" s="10" t="n"/>
      <c r="B25" s="10" t="n"/>
      <c r="C25" s="10" t="n"/>
      <c r="D25" s="10" t="n"/>
      <c r="E25" s="10" t="n"/>
      <c r="F25" s="10" t="n"/>
      <c r="G25" s="10" t="n"/>
    </row>
    <row r="26" ht="80" customHeight="1">
      <c r="A26" s="10" t="n"/>
      <c r="B26" s="10" t="n"/>
      <c r="C26" s="10" t="n"/>
      <c r="D26" s="10" t="n"/>
      <c r="E26" s="10" t="n"/>
      <c r="F26" s="10" t="n"/>
      <c r="G26" s="10" t="n"/>
    </row>
    <row r="27" ht="80" customHeight="1">
      <c r="A27" s="10" t="n"/>
      <c r="B27" s="10" t="n"/>
      <c r="C27" s="10" t="n"/>
      <c r="D27" s="10" t="n"/>
      <c r="E27" s="10" t="n"/>
      <c r="F27" s="10" t="n"/>
      <c r="G27" s="10" t="n"/>
    </row>
    <row r="28" ht="80" customHeight="1">
      <c r="A28" s="10" t="n"/>
      <c r="B28" s="10" t="n"/>
      <c r="C28" s="10" t="n"/>
      <c r="D28" s="10" t="n"/>
      <c r="E28" s="10" t="n"/>
      <c r="F28" s="10" t="n"/>
      <c r="G28" s="10" t="n"/>
    </row>
    <row r="29" ht="80" customHeight="1">
      <c r="A29" s="10" t="n"/>
      <c r="B29" s="10" t="n"/>
      <c r="C29" s="10" t="n"/>
      <c r="D29" s="10" t="n"/>
      <c r="E29" s="10" t="n"/>
      <c r="F29" s="10" t="n"/>
      <c r="G29" s="10" t="n"/>
    </row>
    <row r="30" ht="80" customHeight="1">
      <c r="A30" s="10" t="n"/>
      <c r="B30" s="10" t="n"/>
      <c r="C30" s="10" t="n"/>
      <c r="D30" s="10" t="n"/>
      <c r="E30" s="10" t="n"/>
      <c r="F30" s="10" t="n"/>
      <c r="G30" s="10" t="n"/>
    </row>
    <row r="31" ht="80" customHeight="1">
      <c r="A31" s="10" t="n"/>
      <c r="B31" s="10" t="n"/>
      <c r="C31" s="10" t="n"/>
      <c r="D31" s="10" t="n"/>
      <c r="E31" s="10" t="n"/>
      <c r="F31" s="10" t="n"/>
      <c r="G31" s="10" t="n"/>
    </row>
    <row r="32" ht="80" customHeight="1">
      <c r="A32" s="10" t="n"/>
      <c r="B32" s="10" t="n"/>
      <c r="C32" s="10" t="n"/>
      <c r="D32" s="10" t="n"/>
      <c r="E32" s="10" t="n"/>
      <c r="F32" s="10" t="n"/>
      <c r="G32" s="10" t="n"/>
    </row>
    <row r="33" ht="80" customHeight="1">
      <c r="A33" s="10" t="n"/>
      <c r="B33" s="10" t="n"/>
      <c r="C33" s="10" t="n"/>
      <c r="D33" s="10" t="n"/>
      <c r="E33" s="10" t="n"/>
      <c r="F33" s="10" t="n"/>
      <c r="G33" s="10" t="n"/>
    </row>
    <row r="34" ht="80" customHeight="1">
      <c r="A34" s="10" t="n"/>
      <c r="B34" s="10" t="n"/>
      <c r="C34" s="10" t="n"/>
      <c r="D34" s="10" t="n"/>
      <c r="E34" s="10" t="n"/>
      <c r="F34" s="10" t="n"/>
      <c r="G34" s="10" t="n"/>
    </row>
    <row r="35" ht="80" customHeight="1">
      <c r="A35" s="10" t="n"/>
      <c r="B35" s="10" t="n"/>
      <c r="C35" s="10" t="n"/>
      <c r="D35" s="10" t="n"/>
      <c r="E35" s="10" t="n"/>
      <c r="F35" s="10" t="n"/>
      <c r="G35" s="10" t="n"/>
    </row>
    <row r="36" ht="80" customHeight="1">
      <c r="A36" s="10" t="n"/>
      <c r="B36" s="10" t="n"/>
      <c r="C36" s="10" t="n"/>
      <c r="D36" s="10" t="n"/>
      <c r="E36" s="10" t="n"/>
      <c r="F36" s="10" t="n"/>
      <c r="G36" s="10" t="n"/>
    </row>
    <row r="37" ht="80" customHeight="1">
      <c r="A37" s="10" t="n"/>
      <c r="B37" s="10" t="n"/>
      <c r="C37" s="10" t="n"/>
      <c r="D37" s="10" t="n"/>
      <c r="E37" s="10" t="n"/>
      <c r="F37" s="10" t="n"/>
      <c r="G37" s="10" t="n"/>
    </row>
    <row r="38" ht="80" customHeight="1">
      <c r="A38" s="10" t="n"/>
      <c r="B38" s="10" t="n"/>
      <c r="C38" s="10" t="n"/>
      <c r="D38" s="10" t="n"/>
      <c r="E38" s="10" t="n"/>
      <c r="F38" s="10" t="n"/>
      <c r="G38" s="10" t="n"/>
    </row>
    <row r="39" ht="80" customHeight="1">
      <c r="A39" s="10" t="n"/>
      <c r="B39" s="10" t="n"/>
      <c r="C39" s="10" t="n"/>
      <c r="D39" s="10" t="n"/>
      <c r="E39" s="10" t="n"/>
      <c r="F39" s="10" t="n"/>
      <c r="G39" s="10" t="n"/>
    </row>
    <row r="40" ht="80" customHeight="1">
      <c r="A40" s="10" t="n"/>
      <c r="B40" s="10" t="n"/>
      <c r="C40" s="10" t="n"/>
      <c r="D40" s="10" t="n"/>
      <c r="E40" s="10" t="n"/>
      <c r="F40" s="10" t="n"/>
      <c r="G40" s="10" t="n"/>
    </row>
    <row r="41" ht="80" customHeight="1">
      <c r="A41" s="10" t="n"/>
      <c r="B41" s="10" t="n"/>
      <c r="C41" s="10" t="n"/>
      <c r="D41" s="10" t="n"/>
      <c r="E41" s="10" t="n"/>
      <c r="F41" s="10" t="n"/>
      <c r="G41" s="10" t="n"/>
    </row>
    <row r="42" ht="80" customHeight="1">
      <c r="A42" s="10" t="n"/>
      <c r="B42" s="10" t="n"/>
      <c r="C42" s="10" t="n"/>
      <c r="D42" s="10" t="n"/>
      <c r="E42" s="10" t="n"/>
      <c r="F42" s="10" t="n"/>
      <c r="G42" s="10" t="n"/>
    </row>
    <row r="43" ht="80" customHeight="1">
      <c r="A43" s="10" t="n"/>
      <c r="B43" s="10" t="n"/>
      <c r="C43" s="10" t="n"/>
      <c r="D43" s="10" t="n"/>
      <c r="E43" s="10" t="n"/>
      <c r="F43" s="10" t="n"/>
      <c r="G43" s="10" t="n"/>
    </row>
    <row r="44" ht="80" customHeight="1">
      <c r="A44" s="10" t="n"/>
      <c r="B44" s="10" t="n"/>
      <c r="C44" s="10" t="n"/>
      <c r="D44" s="10" t="n"/>
      <c r="E44" s="10" t="n"/>
      <c r="F44" s="10" t="n"/>
      <c r="G44" s="10" t="n"/>
    </row>
    <row r="45" ht="80" customHeight="1">
      <c r="A45" s="10" t="n"/>
      <c r="B45" s="10" t="n"/>
      <c r="C45" s="10" t="n"/>
      <c r="D45" s="10" t="n"/>
      <c r="E45" s="10" t="n"/>
      <c r="F45" s="10" t="n"/>
      <c r="G45" s="10" t="n"/>
    </row>
    <row r="46" ht="80" customHeight="1">
      <c r="A46" s="10" t="n"/>
      <c r="B46" s="10" t="n"/>
      <c r="C46" s="10" t="n"/>
      <c r="D46" s="10" t="n"/>
      <c r="E46" s="10" t="n"/>
      <c r="F46" s="10" t="n"/>
      <c r="G46" s="10" t="n"/>
    </row>
    <row r="47" ht="80" customHeight="1">
      <c r="A47" s="10" t="n"/>
      <c r="B47" s="10" t="n"/>
      <c r="C47" s="10" t="n"/>
      <c r="D47" s="10" t="n"/>
      <c r="E47" s="10" t="n"/>
      <c r="F47" s="10" t="n"/>
      <c r="G47" s="10" t="n"/>
    </row>
    <row r="48" ht="80" customHeight="1">
      <c r="A48" s="10" t="n"/>
      <c r="B48" s="10" t="n"/>
      <c r="C48" s="10" t="n"/>
      <c r="D48" s="10" t="n"/>
      <c r="E48" s="10" t="n"/>
      <c r="F48" s="10" t="n"/>
      <c r="G48" s="10" t="n"/>
    </row>
    <row r="49" ht="80" customHeight="1">
      <c r="A49" s="10" t="n"/>
      <c r="B49" s="10" t="n"/>
      <c r="C49" s="10" t="n"/>
      <c r="D49" s="10" t="n"/>
      <c r="E49" s="10" t="n"/>
      <c r="F49" s="10" t="n"/>
      <c r="G49" s="10" t="n"/>
    </row>
    <row r="50" ht="80" customHeight="1">
      <c r="A50" s="10" t="n"/>
      <c r="B50" s="10" t="n"/>
      <c r="C50" s="10" t="n"/>
      <c r="D50" s="10" t="n"/>
      <c r="E50" s="10" t="n"/>
      <c r="F50" s="10" t="n"/>
      <c r="G50" s="10" t="n"/>
    </row>
    <row r="51" ht="80" customHeight="1">
      <c r="A51" s="10" t="n"/>
      <c r="B51" s="10" t="n"/>
      <c r="C51" s="10" t="n"/>
      <c r="D51" s="10" t="n"/>
      <c r="E51" s="10" t="n"/>
      <c r="F51" s="10" t="n"/>
      <c r="G51" s="10" t="n"/>
    </row>
  </sheetData>
  <conditionalFormatting sqref="F2:F51">
    <cfRule type="cellIs" priority="1" operator="equal" dxfId="3">
      <formula>"⭐⭐⭐ 매일 도움이 될 거예요"</formula>
    </cfRule>
    <cfRule type="cellIs" priority="2" operator="equal" dxfId="4">
      <formula>"⭐⭐ 가끔 도움이 될 거예요"</formula>
    </cfRule>
    <cfRule type="cellIs" priority="3" operator="equal" dxfId="5">
      <formula>"⭐ 있으면 좋겠어요"</formula>
    </cfRule>
  </conditionalFormatting>
  <dataValidations count="2">
    <dataValidation sqref="C2:C51" showDropDown="0" showInputMessage="0" showErrorMessage="0" allowBlank="1" type="list">
      <formula1>"홈 / 알림,나의 공간 (내 정보),휴가 신청·조회,휴직 신청·조회,출퇴근,결재함 (받은 결재),내 결재 신청 내역,급여명세서,연말 정산,내 목표·평가,분기 리뷰,인정·칭찬,리포트·통계,직원 관리 (HR),조직도·부서 관리 (HR),근태 관리 (HR),휴가 관리 (HR),급여 관리 (HR),결재 흐름 설정 (HR),채용 관리 (HR),평가 관리 (HR),보상 관리 (HR),온보딩·오프보딩 (HR),마스터데이터·설정 (HR),컴플라이언스 (HR),기타"</formula1>
    </dataValidation>
    <dataValidation sqref="F2:F51" showDropDown="0" showInputMessage="0" showErrorMessage="0" allowBlank="1" type="list">
      <formula1>"⭐⭐⭐ 매일 도움이 될 거예요,⭐⭐ 가끔 도움이 될 거예요,⭐ 있으면 좋겠어요"</formula1>
    </dataValidation>
  </dataValidations>
  <pageMargins left="0.75" right="0.75" top="1" bottom="1" header="0.5" footer="0.5"/>
</worksheet>
</file>

<file path=xl/worksheets/sheet4.xml><?xml version="1.0" encoding="utf-8"?>
<worksheet xmlns="http://schemas.openxmlformats.org/spreadsheetml/2006/main">
  <sheetPr>
    <tabColor rgb="007030A0"/>
    <outlinePr summaryBelow="1" summaryRight="1"/>
    <pageSetUpPr/>
  </sheetPr>
  <dimension ref="A1:G79"/>
  <sheetViews>
    <sheetView zoomScale="100" workbookViewId="0">
      <selection activeCell="A1" sqref="A1"/>
    </sheetView>
  </sheetViews>
  <sheetFormatPr baseColWidth="8" defaultRowHeight="15"/>
  <cols>
    <col width="36" customWidth="1" min="1" max="1"/>
    <col width="16" customWidth="1" min="2" max="2"/>
    <col width="16" customWidth="1" min="3" max="3"/>
    <col width="16" customWidth="1" min="4" max="4"/>
    <col width="16" customWidth="1" min="5" max="5"/>
    <col width="16" customWidth="1" min="6" max="6"/>
    <col width="16" customWidth="1" min="7" max="7"/>
  </cols>
  <sheetData>
    <row r="1" ht="28" customHeight="1">
      <c r="A1" s="1" t="inlineStr">
        <is>
          <t>📊 관리자용 집계 (UAT 관리자만 보세요)</t>
        </is>
      </c>
    </row>
    <row r="2" ht="26" customHeight="1">
      <c r="A2" s="12" t="inlineStr">
        <is>
          <t>⚠️ HR 테스터는 이 시트를 채울 필요가 없습니다. 다른 시트에 입력하시면 여기서 자동 집계됩니다.</t>
        </is>
      </c>
    </row>
    <row r="4">
      <c r="A4" s="3" t="inlineStr">
        <is>
          <t>1️⃣ 문제 신고 — 화면별 건수</t>
        </is>
      </c>
    </row>
    <row r="5" ht="24" customHeight="1">
      <c r="A5" s="13" t="inlineStr">
        <is>
          <t>화면</t>
        </is>
      </c>
      <c r="B5" s="13" t="inlineStr">
        <is>
          <t>🔴 일이 안 돼요</t>
        </is>
      </c>
      <c r="C5" s="13" t="inlineStr">
        <is>
          <t>🟡 불편하지만 우회</t>
        </is>
      </c>
      <c r="D5" s="13" t="inlineStr">
        <is>
          <t>🟢 사소</t>
        </is>
      </c>
      <c r="E5" s="13" t="inlineStr">
        <is>
          <t>합계</t>
        </is>
      </c>
    </row>
    <row r="6">
      <c r="A6" s="14" t="inlineStr">
        <is>
          <t>홈 / 알림</t>
        </is>
      </c>
      <c r="B6" s="14">
        <f>COUNTIFS('🔴 이건 잘 안돼요'!C2:C51,A6,'🔴 이건 잘 안돼요'!F2:F51,"🔴 일이 안 돼요 (업무 불가능)")</f>
        <v/>
      </c>
      <c r="C6" s="14">
        <f>COUNTIFS('🔴 이건 잘 안돼요'!C2:C51,A6,'🔴 이건 잘 안돼요'!F2:F51,"🟡 불편하지만 우회 가능")</f>
        <v/>
      </c>
      <c r="D6" s="14">
        <f>COUNTIFS('🔴 이건 잘 안돼요'!C2:C51,A6,'🔴 이건 잘 안돼요'!F2:F51,"🟢 사소해요 (별 문제 없음)")</f>
        <v/>
      </c>
      <c r="E6" s="14">
        <f>SUM(B6:D6)</f>
        <v/>
      </c>
    </row>
    <row r="7">
      <c r="A7" s="14" t="inlineStr">
        <is>
          <t>나의 공간 (내 정보)</t>
        </is>
      </c>
      <c r="B7" s="14">
        <f>COUNTIFS('🔴 이건 잘 안돼요'!C2:C51,A7,'🔴 이건 잘 안돼요'!F2:F51,"🔴 일이 안 돼요 (업무 불가능)")</f>
        <v/>
      </c>
      <c r="C7" s="14">
        <f>COUNTIFS('🔴 이건 잘 안돼요'!C2:C51,A7,'🔴 이건 잘 안돼요'!F2:F51,"🟡 불편하지만 우회 가능")</f>
        <v/>
      </c>
      <c r="D7" s="14">
        <f>COUNTIFS('🔴 이건 잘 안돼요'!C2:C51,A7,'🔴 이건 잘 안돼요'!F2:F51,"🟢 사소해요 (별 문제 없음)")</f>
        <v/>
      </c>
      <c r="E7" s="14">
        <f>SUM(B7:D7)</f>
        <v/>
      </c>
    </row>
    <row r="8">
      <c r="A8" s="14" t="inlineStr">
        <is>
          <t>휴가 신청·조회</t>
        </is>
      </c>
      <c r="B8" s="14">
        <f>COUNTIFS('🔴 이건 잘 안돼요'!C2:C51,A8,'🔴 이건 잘 안돼요'!F2:F51,"🔴 일이 안 돼요 (업무 불가능)")</f>
        <v/>
      </c>
      <c r="C8" s="14">
        <f>COUNTIFS('🔴 이건 잘 안돼요'!C2:C51,A8,'🔴 이건 잘 안돼요'!F2:F51,"🟡 불편하지만 우회 가능")</f>
        <v/>
      </c>
      <c r="D8" s="14">
        <f>COUNTIFS('🔴 이건 잘 안돼요'!C2:C51,A8,'🔴 이건 잘 안돼요'!F2:F51,"🟢 사소해요 (별 문제 없음)")</f>
        <v/>
      </c>
      <c r="E8" s="14">
        <f>SUM(B8:D8)</f>
        <v/>
      </c>
    </row>
    <row r="9">
      <c r="A9" s="14" t="inlineStr">
        <is>
          <t>휴직 신청·조회</t>
        </is>
      </c>
      <c r="B9" s="14">
        <f>COUNTIFS('🔴 이건 잘 안돼요'!C2:C51,A9,'🔴 이건 잘 안돼요'!F2:F51,"🔴 일이 안 돼요 (업무 불가능)")</f>
        <v/>
      </c>
      <c r="C9" s="14">
        <f>COUNTIFS('🔴 이건 잘 안돼요'!C2:C51,A9,'🔴 이건 잘 안돼요'!F2:F51,"🟡 불편하지만 우회 가능")</f>
        <v/>
      </c>
      <c r="D9" s="14">
        <f>COUNTIFS('🔴 이건 잘 안돼요'!C2:C51,A9,'🔴 이건 잘 안돼요'!F2:F51,"🟢 사소해요 (별 문제 없음)")</f>
        <v/>
      </c>
      <c r="E9" s="14">
        <f>SUM(B9:D9)</f>
        <v/>
      </c>
    </row>
    <row r="10">
      <c r="A10" s="14" t="inlineStr">
        <is>
          <t>출퇴근</t>
        </is>
      </c>
      <c r="B10" s="14">
        <f>COUNTIFS('🔴 이건 잘 안돼요'!C2:C51,A10,'🔴 이건 잘 안돼요'!F2:F51,"🔴 일이 안 돼요 (업무 불가능)")</f>
        <v/>
      </c>
      <c r="C10" s="14">
        <f>COUNTIFS('🔴 이건 잘 안돼요'!C2:C51,A10,'🔴 이건 잘 안돼요'!F2:F51,"🟡 불편하지만 우회 가능")</f>
        <v/>
      </c>
      <c r="D10" s="14">
        <f>COUNTIFS('🔴 이건 잘 안돼요'!C2:C51,A10,'🔴 이건 잘 안돼요'!F2:F51,"🟢 사소해요 (별 문제 없음)")</f>
        <v/>
      </c>
      <c r="E10" s="14">
        <f>SUM(B10:D10)</f>
        <v/>
      </c>
    </row>
    <row r="11">
      <c r="A11" s="14" t="inlineStr">
        <is>
          <t>결재함 (받은 결재)</t>
        </is>
      </c>
      <c r="B11" s="14">
        <f>COUNTIFS('🔴 이건 잘 안돼요'!C2:C51,A11,'🔴 이건 잘 안돼요'!F2:F51,"🔴 일이 안 돼요 (업무 불가능)")</f>
        <v/>
      </c>
      <c r="C11" s="14">
        <f>COUNTIFS('🔴 이건 잘 안돼요'!C2:C51,A11,'🔴 이건 잘 안돼요'!F2:F51,"🟡 불편하지만 우회 가능")</f>
        <v/>
      </c>
      <c r="D11" s="14">
        <f>COUNTIFS('🔴 이건 잘 안돼요'!C2:C51,A11,'🔴 이건 잘 안돼요'!F2:F51,"🟢 사소해요 (별 문제 없음)")</f>
        <v/>
      </c>
      <c r="E11" s="14">
        <f>SUM(B11:D11)</f>
        <v/>
      </c>
    </row>
    <row r="12">
      <c r="A12" s="14" t="inlineStr">
        <is>
          <t>내 결재 신청 내역</t>
        </is>
      </c>
      <c r="B12" s="14">
        <f>COUNTIFS('🔴 이건 잘 안돼요'!C2:C51,A12,'🔴 이건 잘 안돼요'!F2:F51,"🔴 일이 안 돼요 (업무 불가능)")</f>
        <v/>
      </c>
      <c r="C12" s="14">
        <f>COUNTIFS('🔴 이건 잘 안돼요'!C2:C51,A12,'🔴 이건 잘 안돼요'!F2:F51,"🟡 불편하지만 우회 가능")</f>
        <v/>
      </c>
      <c r="D12" s="14">
        <f>COUNTIFS('🔴 이건 잘 안돼요'!C2:C51,A12,'🔴 이건 잘 안돼요'!F2:F51,"🟢 사소해요 (별 문제 없음)")</f>
        <v/>
      </c>
      <c r="E12" s="14">
        <f>SUM(B12:D12)</f>
        <v/>
      </c>
    </row>
    <row r="13">
      <c r="A13" s="14" t="inlineStr">
        <is>
          <t>급여명세서</t>
        </is>
      </c>
      <c r="B13" s="14">
        <f>COUNTIFS('🔴 이건 잘 안돼요'!C2:C51,A13,'🔴 이건 잘 안돼요'!F2:F51,"🔴 일이 안 돼요 (업무 불가능)")</f>
        <v/>
      </c>
      <c r="C13" s="14">
        <f>COUNTIFS('🔴 이건 잘 안돼요'!C2:C51,A13,'🔴 이건 잘 안돼요'!F2:F51,"🟡 불편하지만 우회 가능")</f>
        <v/>
      </c>
      <c r="D13" s="14">
        <f>COUNTIFS('🔴 이건 잘 안돼요'!C2:C51,A13,'🔴 이건 잘 안돼요'!F2:F51,"🟢 사소해요 (별 문제 없음)")</f>
        <v/>
      </c>
      <c r="E13" s="14">
        <f>SUM(B13:D13)</f>
        <v/>
      </c>
    </row>
    <row r="14">
      <c r="A14" s="14" t="inlineStr">
        <is>
          <t>연말 정산</t>
        </is>
      </c>
      <c r="B14" s="14">
        <f>COUNTIFS('🔴 이건 잘 안돼요'!C2:C51,A14,'🔴 이건 잘 안돼요'!F2:F51,"🔴 일이 안 돼요 (업무 불가능)")</f>
        <v/>
      </c>
      <c r="C14" s="14">
        <f>COUNTIFS('🔴 이건 잘 안돼요'!C2:C51,A14,'🔴 이건 잘 안돼요'!F2:F51,"🟡 불편하지만 우회 가능")</f>
        <v/>
      </c>
      <c r="D14" s="14">
        <f>COUNTIFS('🔴 이건 잘 안돼요'!C2:C51,A14,'🔴 이건 잘 안돼요'!F2:F51,"🟢 사소해요 (별 문제 없음)")</f>
        <v/>
      </c>
      <c r="E14" s="14">
        <f>SUM(B14:D14)</f>
        <v/>
      </c>
    </row>
    <row r="15">
      <c r="A15" s="14" t="inlineStr">
        <is>
          <t>내 목표·평가</t>
        </is>
      </c>
      <c r="B15" s="14">
        <f>COUNTIFS('🔴 이건 잘 안돼요'!C2:C51,A15,'🔴 이건 잘 안돼요'!F2:F51,"🔴 일이 안 돼요 (업무 불가능)")</f>
        <v/>
      </c>
      <c r="C15" s="14">
        <f>COUNTIFS('🔴 이건 잘 안돼요'!C2:C51,A15,'🔴 이건 잘 안돼요'!F2:F51,"🟡 불편하지만 우회 가능")</f>
        <v/>
      </c>
      <c r="D15" s="14">
        <f>COUNTIFS('🔴 이건 잘 안돼요'!C2:C51,A15,'🔴 이건 잘 안돼요'!F2:F51,"🟢 사소해요 (별 문제 없음)")</f>
        <v/>
      </c>
      <c r="E15" s="14">
        <f>SUM(B15:D15)</f>
        <v/>
      </c>
    </row>
    <row r="16">
      <c r="A16" s="14" t="inlineStr">
        <is>
          <t>분기 리뷰</t>
        </is>
      </c>
      <c r="B16" s="14">
        <f>COUNTIFS('🔴 이건 잘 안돼요'!C2:C51,A16,'🔴 이건 잘 안돼요'!F2:F51,"🔴 일이 안 돼요 (업무 불가능)")</f>
        <v/>
      </c>
      <c r="C16" s="14">
        <f>COUNTIFS('🔴 이건 잘 안돼요'!C2:C51,A16,'🔴 이건 잘 안돼요'!F2:F51,"🟡 불편하지만 우회 가능")</f>
        <v/>
      </c>
      <c r="D16" s="14">
        <f>COUNTIFS('🔴 이건 잘 안돼요'!C2:C51,A16,'🔴 이건 잘 안돼요'!F2:F51,"🟢 사소해요 (별 문제 없음)")</f>
        <v/>
      </c>
      <c r="E16" s="14">
        <f>SUM(B16:D16)</f>
        <v/>
      </c>
    </row>
    <row r="17">
      <c r="A17" s="14" t="inlineStr">
        <is>
          <t>인정·칭찬</t>
        </is>
      </c>
      <c r="B17" s="14">
        <f>COUNTIFS('🔴 이건 잘 안돼요'!C2:C51,A17,'🔴 이건 잘 안돼요'!F2:F51,"🔴 일이 안 돼요 (업무 불가능)")</f>
        <v/>
      </c>
      <c r="C17" s="14">
        <f>COUNTIFS('🔴 이건 잘 안돼요'!C2:C51,A17,'🔴 이건 잘 안돼요'!F2:F51,"🟡 불편하지만 우회 가능")</f>
        <v/>
      </c>
      <c r="D17" s="14">
        <f>COUNTIFS('🔴 이건 잘 안돼요'!C2:C51,A17,'🔴 이건 잘 안돼요'!F2:F51,"🟢 사소해요 (별 문제 없음)")</f>
        <v/>
      </c>
      <c r="E17" s="14">
        <f>SUM(B17:D17)</f>
        <v/>
      </c>
    </row>
    <row r="18">
      <c r="A18" s="14" t="inlineStr">
        <is>
          <t>리포트·통계</t>
        </is>
      </c>
      <c r="B18" s="14">
        <f>COUNTIFS('🔴 이건 잘 안돼요'!C2:C51,A18,'🔴 이건 잘 안돼요'!F2:F51,"🔴 일이 안 돼요 (업무 불가능)")</f>
        <v/>
      </c>
      <c r="C18" s="14">
        <f>COUNTIFS('🔴 이건 잘 안돼요'!C2:C51,A18,'🔴 이건 잘 안돼요'!F2:F51,"🟡 불편하지만 우회 가능")</f>
        <v/>
      </c>
      <c r="D18" s="14">
        <f>COUNTIFS('🔴 이건 잘 안돼요'!C2:C51,A18,'🔴 이건 잘 안돼요'!F2:F51,"🟢 사소해요 (별 문제 없음)")</f>
        <v/>
      </c>
      <c r="E18" s="14">
        <f>SUM(B18:D18)</f>
        <v/>
      </c>
    </row>
    <row r="19">
      <c r="A19" s="14" t="inlineStr">
        <is>
          <t>직원 관리 (HR)</t>
        </is>
      </c>
      <c r="B19" s="14">
        <f>COUNTIFS('🔴 이건 잘 안돼요'!C2:C51,A19,'🔴 이건 잘 안돼요'!F2:F51,"🔴 일이 안 돼요 (업무 불가능)")</f>
        <v/>
      </c>
      <c r="C19" s="14">
        <f>COUNTIFS('🔴 이건 잘 안돼요'!C2:C51,A19,'🔴 이건 잘 안돼요'!F2:F51,"🟡 불편하지만 우회 가능")</f>
        <v/>
      </c>
      <c r="D19" s="14">
        <f>COUNTIFS('🔴 이건 잘 안돼요'!C2:C51,A19,'🔴 이건 잘 안돼요'!F2:F51,"🟢 사소해요 (별 문제 없음)")</f>
        <v/>
      </c>
      <c r="E19" s="14">
        <f>SUM(B19:D19)</f>
        <v/>
      </c>
    </row>
    <row r="20">
      <c r="A20" s="14" t="inlineStr">
        <is>
          <t>조직도·부서 관리 (HR)</t>
        </is>
      </c>
      <c r="B20" s="14">
        <f>COUNTIFS('🔴 이건 잘 안돼요'!C2:C51,A20,'🔴 이건 잘 안돼요'!F2:F51,"🔴 일이 안 돼요 (업무 불가능)")</f>
        <v/>
      </c>
      <c r="C20" s="14">
        <f>COUNTIFS('🔴 이건 잘 안돼요'!C2:C51,A20,'🔴 이건 잘 안돼요'!F2:F51,"🟡 불편하지만 우회 가능")</f>
        <v/>
      </c>
      <c r="D20" s="14">
        <f>COUNTIFS('🔴 이건 잘 안돼요'!C2:C51,A20,'🔴 이건 잘 안돼요'!F2:F51,"🟢 사소해요 (별 문제 없음)")</f>
        <v/>
      </c>
      <c r="E20" s="14">
        <f>SUM(B20:D20)</f>
        <v/>
      </c>
    </row>
    <row r="21">
      <c r="A21" s="14" t="inlineStr">
        <is>
          <t>근태 관리 (HR)</t>
        </is>
      </c>
      <c r="B21" s="14">
        <f>COUNTIFS('🔴 이건 잘 안돼요'!C2:C51,A21,'🔴 이건 잘 안돼요'!F2:F51,"🔴 일이 안 돼요 (업무 불가능)")</f>
        <v/>
      </c>
      <c r="C21" s="14">
        <f>COUNTIFS('🔴 이건 잘 안돼요'!C2:C51,A21,'🔴 이건 잘 안돼요'!F2:F51,"🟡 불편하지만 우회 가능")</f>
        <v/>
      </c>
      <c r="D21" s="14">
        <f>COUNTIFS('🔴 이건 잘 안돼요'!C2:C51,A21,'🔴 이건 잘 안돼요'!F2:F51,"🟢 사소해요 (별 문제 없음)")</f>
        <v/>
      </c>
      <c r="E21" s="14">
        <f>SUM(B21:D21)</f>
        <v/>
      </c>
    </row>
    <row r="22">
      <c r="A22" s="14" t="inlineStr">
        <is>
          <t>휴가 관리 (HR)</t>
        </is>
      </c>
      <c r="B22" s="14">
        <f>COUNTIFS('🔴 이건 잘 안돼요'!C2:C51,A22,'🔴 이건 잘 안돼요'!F2:F51,"🔴 일이 안 돼요 (업무 불가능)")</f>
        <v/>
      </c>
      <c r="C22" s="14">
        <f>COUNTIFS('🔴 이건 잘 안돼요'!C2:C51,A22,'🔴 이건 잘 안돼요'!F2:F51,"🟡 불편하지만 우회 가능")</f>
        <v/>
      </c>
      <c r="D22" s="14">
        <f>COUNTIFS('🔴 이건 잘 안돼요'!C2:C51,A22,'🔴 이건 잘 안돼요'!F2:F51,"🟢 사소해요 (별 문제 없음)")</f>
        <v/>
      </c>
      <c r="E22" s="14">
        <f>SUM(B22:D22)</f>
        <v/>
      </c>
    </row>
    <row r="23">
      <c r="A23" s="14" t="inlineStr">
        <is>
          <t>급여 관리 (HR)</t>
        </is>
      </c>
      <c r="B23" s="14">
        <f>COUNTIFS('🔴 이건 잘 안돼요'!C2:C51,A23,'🔴 이건 잘 안돼요'!F2:F51,"🔴 일이 안 돼요 (업무 불가능)")</f>
        <v/>
      </c>
      <c r="C23" s="14">
        <f>COUNTIFS('🔴 이건 잘 안돼요'!C2:C51,A23,'🔴 이건 잘 안돼요'!F2:F51,"🟡 불편하지만 우회 가능")</f>
        <v/>
      </c>
      <c r="D23" s="14">
        <f>COUNTIFS('🔴 이건 잘 안돼요'!C2:C51,A23,'🔴 이건 잘 안돼요'!F2:F51,"🟢 사소해요 (별 문제 없음)")</f>
        <v/>
      </c>
      <c r="E23" s="14">
        <f>SUM(B23:D23)</f>
        <v/>
      </c>
    </row>
    <row r="24">
      <c r="A24" s="14" t="inlineStr">
        <is>
          <t>결재 흐름 설정 (HR)</t>
        </is>
      </c>
      <c r="B24" s="14">
        <f>COUNTIFS('🔴 이건 잘 안돼요'!C2:C51,A24,'🔴 이건 잘 안돼요'!F2:F51,"🔴 일이 안 돼요 (업무 불가능)")</f>
        <v/>
      </c>
      <c r="C24" s="14">
        <f>COUNTIFS('🔴 이건 잘 안돼요'!C2:C51,A24,'🔴 이건 잘 안돼요'!F2:F51,"🟡 불편하지만 우회 가능")</f>
        <v/>
      </c>
      <c r="D24" s="14">
        <f>COUNTIFS('🔴 이건 잘 안돼요'!C2:C51,A24,'🔴 이건 잘 안돼요'!F2:F51,"🟢 사소해요 (별 문제 없음)")</f>
        <v/>
      </c>
      <c r="E24" s="14">
        <f>SUM(B24:D24)</f>
        <v/>
      </c>
    </row>
    <row r="25">
      <c r="A25" s="14" t="inlineStr">
        <is>
          <t>채용 관리 (HR)</t>
        </is>
      </c>
      <c r="B25" s="14">
        <f>COUNTIFS('🔴 이건 잘 안돼요'!C2:C51,A25,'🔴 이건 잘 안돼요'!F2:F51,"🔴 일이 안 돼요 (업무 불가능)")</f>
        <v/>
      </c>
      <c r="C25" s="14">
        <f>COUNTIFS('🔴 이건 잘 안돼요'!C2:C51,A25,'🔴 이건 잘 안돼요'!F2:F51,"🟡 불편하지만 우회 가능")</f>
        <v/>
      </c>
      <c r="D25" s="14">
        <f>COUNTIFS('🔴 이건 잘 안돼요'!C2:C51,A25,'🔴 이건 잘 안돼요'!F2:F51,"🟢 사소해요 (별 문제 없음)")</f>
        <v/>
      </c>
      <c r="E25" s="14">
        <f>SUM(B25:D25)</f>
        <v/>
      </c>
    </row>
    <row r="26">
      <c r="A26" s="14" t="inlineStr">
        <is>
          <t>평가 관리 (HR)</t>
        </is>
      </c>
      <c r="B26" s="14">
        <f>COUNTIFS('🔴 이건 잘 안돼요'!C2:C51,A26,'🔴 이건 잘 안돼요'!F2:F51,"🔴 일이 안 돼요 (업무 불가능)")</f>
        <v/>
      </c>
      <c r="C26" s="14">
        <f>COUNTIFS('🔴 이건 잘 안돼요'!C2:C51,A26,'🔴 이건 잘 안돼요'!F2:F51,"🟡 불편하지만 우회 가능")</f>
        <v/>
      </c>
      <c r="D26" s="14">
        <f>COUNTIFS('🔴 이건 잘 안돼요'!C2:C51,A26,'🔴 이건 잘 안돼요'!F2:F51,"🟢 사소해요 (별 문제 없음)")</f>
        <v/>
      </c>
      <c r="E26" s="14">
        <f>SUM(B26:D26)</f>
        <v/>
      </c>
    </row>
    <row r="27">
      <c r="A27" s="14" t="inlineStr">
        <is>
          <t>보상 관리 (HR)</t>
        </is>
      </c>
      <c r="B27" s="14">
        <f>COUNTIFS('🔴 이건 잘 안돼요'!C2:C51,A27,'🔴 이건 잘 안돼요'!F2:F51,"🔴 일이 안 돼요 (업무 불가능)")</f>
        <v/>
      </c>
      <c r="C27" s="14">
        <f>COUNTIFS('🔴 이건 잘 안돼요'!C2:C51,A27,'🔴 이건 잘 안돼요'!F2:F51,"🟡 불편하지만 우회 가능")</f>
        <v/>
      </c>
      <c r="D27" s="14">
        <f>COUNTIFS('🔴 이건 잘 안돼요'!C2:C51,A27,'🔴 이건 잘 안돼요'!F2:F51,"🟢 사소해요 (별 문제 없음)")</f>
        <v/>
      </c>
      <c r="E27" s="14">
        <f>SUM(B27:D27)</f>
        <v/>
      </c>
    </row>
    <row r="28">
      <c r="A28" s="14" t="inlineStr">
        <is>
          <t>온보딩·오프보딩 (HR)</t>
        </is>
      </c>
      <c r="B28" s="14">
        <f>COUNTIFS('🔴 이건 잘 안돼요'!C2:C51,A28,'🔴 이건 잘 안돼요'!F2:F51,"🔴 일이 안 돼요 (업무 불가능)")</f>
        <v/>
      </c>
      <c r="C28" s="14">
        <f>COUNTIFS('🔴 이건 잘 안돼요'!C2:C51,A28,'🔴 이건 잘 안돼요'!F2:F51,"🟡 불편하지만 우회 가능")</f>
        <v/>
      </c>
      <c r="D28" s="14">
        <f>COUNTIFS('🔴 이건 잘 안돼요'!C2:C51,A28,'🔴 이건 잘 안돼요'!F2:F51,"🟢 사소해요 (별 문제 없음)")</f>
        <v/>
      </c>
      <c r="E28" s="14">
        <f>SUM(B28:D28)</f>
        <v/>
      </c>
    </row>
    <row r="29">
      <c r="A29" s="14" t="inlineStr">
        <is>
          <t>마스터데이터·설정 (HR)</t>
        </is>
      </c>
      <c r="B29" s="14">
        <f>COUNTIFS('🔴 이건 잘 안돼요'!C2:C51,A29,'🔴 이건 잘 안돼요'!F2:F51,"🔴 일이 안 돼요 (업무 불가능)")</f>
        <v/>
      </c>
      <c r="C29" s="14">
        <f>COUNTIFS('🔴 이건 잘 안돼요'!C2:C51,A29,'🔴 이건 잘 안돼요'!F2:F51,"🟡 불편하지만 우회 가능")</f>
        <v/>
      </c>
      <c r="D29" s="14">
        <f>COUNTIFS('🔴 이건 잘 안돼요'!C2:C51,A29,'🔴 이건 잘 안돼요'!F2:F51,"🟢 사소해요 (별 문제 없음)")</f>
        <v/>
      </c>
      <c r="E29" s="14">
        <f>SUM(B29:D29)</f>
        <v/>
      </c>
    </row>
    <row r="30">
      <c r="A30" s="14" t="inlineStr">
        <is>
          <t>컴플라이언스 (HR)</t>
        </is>
      </c>
      <c r="B30" s="14">
        <f>COUNTIFS('🔴 이건 잘 안돼요'!C2:C51,A30,'🔴 이건 잘 안돼요'!F2:F51,"🔴 일이 안 돼요 (업무 불가능)")</f>
        <v/>
      </c>
      <c r="C30" s="14">
        <f>COUNTIFS('🔴 이건 잘 안돼요'!C2:C51,A30,'🔴 이건 잘 안돼요'!F2:F51,"🟡 불편하지만 우회 가능")</f>
        <v/>
      </c>
      <c r="D30" s="14">
        <f>COUNTIFS('🔴 이건 잘 안돼요'!C2:C51,A30,'🔴 이건 잘 안돼요'!F2:F51,"🟢 사소해요 (별 문제 없음)")</f>
        <v/>
      </c>
      <c r="E30" s="14">
        <f>SUM(B30:D30)</f>
        <v/>
      </c>
    </row>
    <row r="31">
      <c r="A31" s="14" t="inlineStr">
        <is>
          <t>기타</t>
        </is>
      </c>
      <c r="B31" s="14">
        <f>COUNTIFS('🔴 이건 잘 안돼요'!C2:C51,A31,'🔴 이건 잘 안돼요'!F2:F51,"🔴 일이 안 돼요 (업무 불가능)")</f>
        <v/>
      </c>
      <c r="C31" s="14">
        <f>COUNTIFS('🔴 이건 잘 안돼요'!C2:C51,A31,'🔴 이건 잘 안돼요'!F2:F51,"🟡 불편하지만 우회 가능")</f>
        <v/>
      </c>
      <c r="D31" s="14">
        <f>COUNTIFS('🔴 이건 잘 안돼요'!C2:C51,A31,'🔴 이건 잘 안돼요'!F2:F51,"🟢 사소해요 (별 문제 없음)")</f>
        <v/>
      </c>
      <c r="E31" s="14">
        <f>SUM(B31:D31)</f>
        <v/>
      </c>
    </row>
    <row r="32">
      <c r="A32" s="13" t="inlineStr">
        <is>
          <t>합계</t>
        </is>
      </c>
      <c r="B32" s="13">
        <f>SUM(B6:B31)</f>
        <v/>
      </c>
      <c r="C32" s="13">
        <f>SUM(C6:C31)</f>
        <v/>
      </c>
      <c r="D32" s="13">
        <f>SUM(D6:D31)</f>
        <v/>
      </c>
      <c r="E32" s="13">
        <f>SUM(E6:E31)</f>
        <v/>
      </c>
    </row>
    <row r="35">
      <c r="A35" s="3" t="inlineStr">
        <is>
          <t>2️⃣ 개선 제안 — 화면별 건수</t>
        </is>
      </c>
    </row>
    <row r="36" ht="24" customHeight="1">
      <c r="A36" s="13" t="inlineStr">
        <is>
          <t>화면</t>
        </is>
      </c>
      <c r="B36" s="13" t="inlineStr">
        <is>
          <t>⭐⭐⭐ 매일</t>
        </is>
      </c>
      <c r="C36" s="13" t="inlineStr">
        <is>
          <t>⭐⭐ 가끔</t>
        </is>
      </c>
      <c r="D36" s="13" t="inlineStr">
        <is>
          <t>⭐ 있으면 좋음</t>
        </is>
      </c>
      <c r="E36" s="13" t="inlineStr">
        <is>
          <t>합계</t>
        </is>
      </c>
    </row>
    <row r="37">
      <c r="A37" s="14" t="inlineStr">
        <is>
          <t>홈 / 알림</t>
        </is>
      </c>
      <c r="B37" s="14">
        <f>COUNTIFS('💡 이게 있으면 좋겠어요'!C2:C51,A37,'💡 이게 있으면 좋겠어요'!F2:F51,"⭐⭐⭐ 매일 도움이 될 거예요")</f>
        <v/>
      </c>
      <c r="C37" s="14">
        <f>COUNTIFS('💡 이게 있으면 좋겠어요'!C2:C51,A37,'💡 이게 있으면 좋겠어요'!F2:F51,"⭐⭐ 가끔 도움이 될 거예요")</f>
        <v/>
      </c>
      <c r="D37" s="14">
        <f>COUNTIFS('💡 이게 있으면 좋겠어요'!C2:C51,A37,'💡 이게 있으면 좋겠어요'!F2:F51,"⭐ 있으면 좋겠어요")</f>
        <v/>
      </c>
      <c r="E37" s="14">
        <f>SUM(B37:D37)</f>
        <v/>
      </c>
    </row>
    <row r="38">
      <c r="A38" s="14" t="inlineStr">
        <is>
          <t>나의 공간 (내 정보)</t>
        </is>
      </c>
      <c r="B38" s="14">
        <f>COUNTIFS('💡 이게 있으면 좋겠어요'!C2:C51,A38,'💡 이게 있으면 좋겠어요'!F2:F51,"⭐⭐⭐ 매일 도움이 될 거예요")</f>
        <v/>
      </c>
      <c r="C38" s="14">
        <f>COUNTIFS('💡 이게 있으면 좋겠어요'!C2:C51,A38,'💡 이게 있으면 좋겠어요'!F2:F51,"⭐⭐ 가끔 도움이 될 거예요")</f>
        <v/>
      </c>
      <c r="D38" s="14">
        <f>COUNTIFS('💡 이게 있으면 좋겠어요'!C2:C51,A38,'💡 이게 있으면 좋겠어요'!F2:F51,"⭐ 있으면 좋겠어요")</f>
        <v/>
      </c>
      <c r="E38" s="14">
        <f>SUM(B38:D38)</f>
        <v/>
      </c>
    </row>
    <row r="39">
      <c r="A39" s="14" t="inlineStr">
        <is>
          <t>휴가 신청·조회</t>
        </is>
      </c>
      <c r="B39" s="14">
        <f>COUNTIFS('💡 이게 있으면 좋겠어요'!C2:C51,A39,'💡 이게 있으면 좋겠어요'!F2:F51,"⭐⭐⭐ 매일 도움이 될 거예요")</f>
        <v/>
      </c>
      <c r="C39" s="14">
        <f>COUNTIFS('💡 이게 있으면 좋겠어요'!C2:C51,A39,'💡 이게 있으면 좋겠어요'!F2:F51,"⭐⭐ 가끔 도움이 될 거예요")</f>
        <v/>
      </c>
      <c r="D39" s="14">
        <f>COUNTIFS('💡 이게 있으면 좋겠어요'!C2:C51,A39,'💡 이게 있으면 좋겠어요'!F2:F51,"⭐ 있으면 좋겠어요")</f>
        <v/>
      </c>
      <c r="E39" s="14">
        <f>SUM(B39:D39)</f>
        <v/>
      </c>
    </row>
    <row r="40">
      <c r="A40" s="14" t="inlineStr">
        <is>
          <t>휴직 신청·조회</t>
        </is>
      </c>
      <c r="B40" s="14">
        <f>COUNTIFS('💡 이게 있으면 좋겠어요'!C2:C51,A40,'💡 이게 있으면 좋겠어요'!F2:F51,"⭐⭐⭐ 매일 도움이 될 거예요")</f>
        <v/>
      </c>
      <c r="C40" s="14">
        <f>COUNTIFS('💡 이게 있으면 좋겠어요'!C2:C51,A40,'💡 이게 있으면 좋겠어요'!F2:F51,"⭐⭐ 가끔 도움이 될 거예요")</f>
        <v/>
      </c>
      <c r="D40" s="14">
        <f>COUNTIFS('💡 이게 있으면 좋겠어요'!C2:C51,A40,'💡 이게 있으면 좋겠어요'!F2:F51,"⭐ 있으면 좋겠어요")</f>
        <v/>
      </c>
      <c r="E40" s="14">
        <f>SUM(B40:D40)</f>
        <v/>
      </c>
    </row>
    <row r="41">
      <c r="A41" s="14" t="inlineStr">
        <is>
          <t>출퇴근</t>
        </is>
      </c>
      <c r="B41" s="14">
        <f>COUNTIFS('💡 이게 있으면 좋겠어요'!C2:C51,A41,'💡 이게 있으면 좋겠어요'!F2:F51,"⭐⭐⭐ 매일 도움이 될 거예요")</f>
        <v/>
      </c>
      <c r="C41" s="14">
        <f>COUNTIFS('💡 이게 있으면 좋겠어요'!C2:C51,A41,'💡 이게 있으면 좋겠어요'!F2:F51,"⭐⭐ 가끔 도움이 될 거예요")</f>
        <v/>
      </c>
      <c r="D41" s="14">
        <f>COUNTIFS('💡 이게 있으면 좋겠어요'!C2:C51,A41,'💡 이게 있으면 좋겠어요'!F2:F51,"⭐ 있으면 좋겠어요")</f>
        <v/>
      </c>
      <c r="E41" s="14">
        <f>SUM(B41:D41)</f>
        <v/>
      </c>
    </row>
    <row r="42">
      <c r="A42" s="14" t="inlineStr">
        <is>
          <t>결재함 (받은 결재)</t>
        </is>
      </c>
      <c r="B42" s="14">
        <f>COUNTIFS('💡 이게 있으면 좋겠어요'!C2:C51,A42,'💡 이게 있으면 좋겠어요'!F2:F51,"⭐⭐⭐ 매일 도움이 될 거예요")</f>
        <v/>
      </c>
      <c r="C42" s="14">
        <f>COUNTIFS('💡 이게 있으면 좋겠어요'!C2:C51,A42,'💡 이게 있으면 좋겠어요'!F2:F51,"⭐⭐ 가끔 도움이 될 거예요")</f>
        <v/>
      </c>
      <c r="D42" s="14">
        <f>COUNTIFS('💡 이게 있으면 좋겠어요'!C2:C51,A42,'💡 이게 있으면 좋겠어요'!F2:F51,"⭐ 있으면 좋겠어요")</f>
        <v/>
      </c>
      <c r="E42" s="14">
        <f>SUM(B42:D42)</f>
        <v/>
      </c>
    </row>
    <row r="43">
      <c r="A43" s="14" t="inlineStr">
        <is>
          <t>내 결재 신청 내역</t>
        </is>
      </c>
      <c r="B43" s="14">
        <f>COUNTIFS('💡 이게 있으면 좋겠어요'!C2:C51,A43,'💡 이게 있으면 좋겠어요'!F2:F51,"⭐⭐⭐ 매일 도움이 될 거예요")</f>
        <v/>
      </c>
      <c r="C43" s="14">
        <f>COUNTIFS('💡 이게 있으면 좋겠어요'!C2:C51,A43,'💡 이게 있으면 좋겠어요'!F2:F51,"⭐⭐ 가끔 도움이 될 거예요")</f>
        <v/>
      </c>
      <c r="D43" s="14">
        <f>COUNTIFS('💡 이게 있으면 좋겠어요'!C2:C51,A43,'💡 이게 있으면 좋겠어요'!F2:F51,"⭐ 있으면 좋겠어요")</f>
        <v/>
      </c>
      <c r="E43" s="14">
        <f>SUM(B43:D43)</f>
        <v/>
      </c>
    </row>
    <row r="44">
      <c r="A44" s="14" t="inlineStr">
        <is>
          <t>급여명세서</t>
        </is>
      </c>
      <c r="B44" s="14">
        <f>COUNTIFS('💡 이게 있으면 좋겠어요'!C2:C51,A44,'💡 이게 있으면 좋겠어요'!F2:F51,"⭐⭐⭐ 매일 도움이 될 거예요")</f>
        <v/>
      </c>
      <c r="C44" s="14">
        <f>COUNTIFS('💡 이게 있으면 좋겠어요'!C2:C51,A44,'💡 이게 있으면 좋겠어요'!F2:F51,"⭐⭐ 가끔 도움이 될 거예요")</f>
        <v/>
      </c>
      <c r="D44" s="14">
        <f>COUNTIFS('💡 이게 있으면 좋겠어요'!C2:C51,A44,'💡 이게 있으면 좋겠어요'!F2:F51,"⭐ 있으면 좋겠어요")</f>
        <v/>
      </c>
      <c r="E44" s="14">
        <f>SUM(B44:D44)</f>
        <v/>
      </c>
    </row>
    <row r="45">
      <c r="A45" s="14" t="inlineStr">
        <is>
          <t>연말 정산</t>
        </is>
      </c>
      <c r="B45" s="14">
        <f>COUNTIFS('💡 이게 있으면 좋겠어요'!C2:C51,A45,'💡 이게 있으면 좋겠어요'!F2:F51,"⭐⭐⭐ 매일 도움이 될 거예요")</f>
        <v/>
      </c>
      <c r="C45" s="14">
        <f>COUNTIFS('💡 이게 있으면 좋겠어요'!C2:C51,A45,'💡 이게 있으면 좋겠어요'!F2:F51,"⭐⭐ 가끔 도움이 될 거예요")</f>
        <v/>
      </c>
      <c r="D45" s="14">
        <f>COUNTIFS('💡 이게 있으면 좋겠어요'!C2:C51,A45,'💡 이게 있으면 좋겠어요'!F2:F51,"⭐ 있으면 좋겠어요")</f>
        <v/>
      </c>
      <c r="E45" s="14">
        <f>SUM(B45:D45)</f>
        <v/>
      </c>
    </row>
    <row r="46">
      <c r="A46" s="14" t="inlineStr">
        <is>
          <t>내 목표·평가</t>
        </is>
      </c>
      <c r="B46" s="14">
        <f>COUNTIFS('💡 이게 있으면 좋겠어요'!C2:C51,A46,'💡 이게 있으면 좋겠어요'!F2:F51,"⭐⭐⭐ 매일 도움이 될 거예요")</f>
        <v/>
      </c>
      <c r="C46" s="14">
        <f>COUNTIFS('💡 이게 있으면 좋겠어요'!C2:C51,A46,'💡 이게 있으면 좋겠어요'!F2:F51,"⭐⭐ 가끔 도움이 될 거예요")</f>
        <v/>
      </c>
      <c r="D46" s="14">
        <f>COUNTIFS('💡 이게 있으면 좋겠어요'!C2:C51,A46,'💡 이게 있으면 좋겠어요'!F2:F51,"⭐ 있으면 좋겠어요")</f>
        <v/>
      </c>
      <c r="E46" s="14">
        <f>SUM(B46:D46)</f>
        <v/>
      </c>
    </row>
    <row r="47">
      <c r="A47" s="14" t="inlineStr">
        <is>
          <t>분기 리뷰</t>
        </is>
      </c>
      <c r="B47" s="14">
        <f>COUNTIFS('💡 이게 있으면 좋겠어요'!C2:C51,A47,'💡 이게 있으면 좋겠어요'!F2:F51,"⭐⭐⭐ 매일 도움이 될 거예요")</f>
        <v/>
      </c>
      <c r="C47" s="14">
        <f>COUNTIFS('💡 이게 있으면 좋겠어요'!C2:C51,A47,'💡 이게 있으면 좋겠어요'!F2:F51,"⭐⭐ 가끔 도움이 될 거예요")</f>
        <v/>
      </c>
      <c r="D47" s="14">
        <f>COUNTIFS('💡 이게 있으면 좋겠어요'!C2:C51,A47,'💡 이게 있으면 좋겠어요'!F2:F51,"⭐ 있으면 좋겠어요")</f>
        <v/>
      </c>
      <c r="E47" s="14">
        <f>SUM(B47:D47)</f>
        <v/>
      </c>
    </row>
    <row r="48">
      <c r="A48" s="14" t="inlineStr">
        <is>
          <t>인정·칭찬</t>
        </is>
      </c>
      <c r="B48" s="14">
        <f>COUNTIFS('💡 이게 있으면 좋겠어요'!C2:C51,A48,'💡 이게 있으면 좋겠어요'!F2:F51,"⭐⭐⭐ 매일 도움이 될 거예요")</f>
        <v/>
      </c>
      <c r="C48" s="14">
        <f>COUNTIFS('💡 이게 있으면 좋겠어요'!C2:C51,A48,'💡 이게 있으면 좋겠어요'!F2:F51,"⭐⭐ 가끔 도움이 될 거예요")</f>
        <v/>
      </c>
      <c r="D48" s="14">
        <f>COUNTIFS('💡 이게 있으면 좋겠어요'!C2:C51,A48,'💡 이게 있으면 좋겠어요'!F2:F51,"⭐ 있으면 좋겠어요")</f>
        <v/>
      </c>
      <c r="E48" s="14">
        <f>SUM(B48:D48)</f>
        <v/>
      </c>
    </row>
    <row r="49">
      <c r="A49" s="14" t="inlineStr">
        <is>
          <t>리포트·통계</t>
        </is>
      </c>
      <c r="B49" s="14">
        <f>COUNTIFS('💡 이게 있으면 좋겠어요'!C2:C51,A49,'💡 이게 있으면 좋겠어요'!F2:F51,"⭐⭐⭐ 매일 도움이 될 거예요")</f>
        <v/>
      </c>
      <c r="C49" s="14">
        <f>COUNTIFS('💡 이게 있으면 좋겠어요'!C2:C51,A49,'💡 이게 있으면 좋겠어요'!F2:F51,"⭐⭐ 가끔 도움이 될 거예요")</f>
        <v/>
      </c>
      <c r="D49" s="14">
        <f>COUNTIFS('💡 이게 있으면 좋겠어요'!C2:C51,A49,'💡 이게 있으면 좋겠어요'!F2:F51,"⭐ 있으면 좋겠어요")</f>
        <v/>
      </c>
      <c r="E49" s="14">
        <f>SUM(B49:D49)</f>
        <v/>
      </c>
    </row>
    <row r="50">
      <c r="A50" s="14" t="inlineStr">
        <is>
          <t>직원 관리 (HR)</t>
        </is>
      </c>
      <c r="B50" s="14">
        <f>COUNTIFS('💡 이게 있으면 좋겠어요'!C2:C51,A50,'💡 이게 있으면 좋겠어요'!F2:F51,"⭐⭐⭐ 매일 도움이 될 거예요")</f>
        <v/>
      </c>
      <c r="C50" s="14">
        <f>COUNTIFS('💡 이게 있으면 좋겠어요'!C2:C51,A50,'💡 이게 있으면 좋겠어요'!F2:F51,"⭐⭐ 가끔 도움이 될 거예요")</f>
        <v/>
      </c>
      <c r="D50" s="14">
        <f>COUNTIFS('💡 이게 있으면 좋겠어요'!C2:C51,A50,'💡 이게 있으면 좋겠어요'!F2:F51,"⭐ 있으면 좋겠어요")</f>
        <v/>
      </c>
      <c r="E50" s="14">
        <f>SUM(B50:D50)</f>
        <v/>
      </c>
    </row>
    <row r="51">
      <c r="A51" s="14" t="inlineStr">
        <is>
          <t>조직도·부서 관리 (HR)</t>
        </is>
      </c>
      <c r="B51" s="14">
        <f>COUNTIFS('💡 이게 있으면 좋겠어요'!C2:C51,A51,'💡 이게 있으면 좋겠어요'!F2:F51,"⭐⭐⭐ 매일 도움이 될 거예요")</f>
        <v/>
      </c>
      <c r="C51" s="14">
        <f>COUNTIFS('💡 이게 있으면 좋겠어요'!C2:C51,A51,'💡 이게 있으면 좋겠어요'!F2:F51,"⭐⭐ 가끔 도움이 될 거예요")</f>
        <v/>
      </c>
      <c r="D51" s="14">
        <f>COUNTIFS('💡 이게 있으면 좋겠어요'!C2:C51,A51,'💡 이게 있으면 좋겠어요'!F2:F51,"⭐ 있으면 좋겠어요")</f>
        <v/>
      </c>
      <c r="E51" s="14">
        <f>SUM(B51:D51)</f>
        <v/>
      </c>
    </row>
    <row r="52">
      <c r="A52" s="14" t="inlineStr">
        <is>
          <t>근태 관리 (HR)</t>
        </is>
      </c>
      <c r="B52" s="14">
        <f>COUNTIFS('💡 이게 있으면 좋겠어요'!C2:C51,A52,'💡 이게 있으면 좋겠어요'!F2:F51,"⭐⭐⭐ 매일 도움이 될 거예요")</f>
        <v/>
      </c>
      <c r="C52" s="14">
        <f>COUNTIFS('💡 이게 있으면 좋겠어요'!C2:C51,A52,'💡 이게 있으면 좋겠어요'!F2:F51,"⭐⭐ 가끔 도움이 될 거예요")</f>
        <v/>
      </c>
      <c r="D52" s="14">
        <f>COUNTIFS('💡 이게 있으면 좋겠어요'!C2:C51,A52,'💡 이게 있으면 좋겠어요'!F2:F51,"⭐ 있으면 좋겠어요")</f>
        <v/>
      </c>
      <c r="E52" s="14">
        <f>SUM(B52:D52)</f>
        <v/>
      </c>
    </row>
    <row r="53">
      <c r="A53" s="14" t="inlineStr">
        <is>
          <t>휴가 관리 (HR)</t>
        </is>
      </c>
      <c r="B53" s="14">
        <f>COUNTIFS('💡 이게 있으면 좋겠어요'!C2:C51,A53,'💡 이게 있으면 좋겠어요'!F2:F51,"⭐⭐⭐ 매일 도움이 될 거예요")</f>
        <v/>
      </c>
      <c r="C53" s="14">
        <f>COUNTIFS('💡 이게 있으면 좋겠어요'!C2:C51,A53,'💡 이게 있으면 좋겠어요'!F2:F51,"⭐⭐ 가끔 도움이 될 거예요")</f>
        <v/>
      </c>
      <c r="D53" s="14">
        <f>COUNTIFS('💡 이게 있으면 좋겠어요'!C2:C51,A53,'💡 이게 있으면 좋겠어요'!F2:F51,"⭐ 있으면 좋겠어요")</f>
        <v/>
      </c>
      <c r="E53" s="14">
        <f>SUM(B53:D53)</f>
        <v/>
      </c>
    </row>
    <row r="54">
      <c r="A54" s="14" t="inlineStr">
        <is>
          <t>급여 관리 (HR)</t>
        </is>
      </c>
      <c r="B54" s="14">
        <f>COUNTIFS('💡 이게 있으면 좋겠어요'!C2:C51,A54,'💡 이게 있으면 좋겠어요'!F2:F51,"⭐⭐⭐ 매일 도움이 될 거예요")</f>
        <v/>
      </c>
      <c r="C54" s="14">
        <f>COUNTIFS('💡 이게 있으면 좋겠어요'!C2:C51,A54,'💡 이게 있으면 좋겠어요'!F2:F51,"⭐⭐ 가끔 도움이 될 거예요")</f>
        <v/>
      </c>
      <c r="D54" s="14">
        <f>COUNTIFS('💡 이게 있으면 좋겠어요'!C2:C51,A54,'💡 이게 있으면 좋겠어요'!F2:F51,"⭐ 있으면 좋겠어요")</f>
        <v/>
      </c>
      <c r="E54" s="14">
        <f>SUM(B54:D54)</f>
        <v/>
      </c>
    </row>
    <row r="55">
      <c r="A55" s="14" t="inlineStr">
        <is>
          <t>결재 흐름 설정 (HR)</t>
        </is>
      </c>
      <c r="B55" s="14">
        <f>COUNTIFS('💡 이게 있으면 좋겠어요'!C2:C51,A55,'💡 이게 있으면 좋겠어요'!F2:F51,"⭐⭐⭐ 매일 도움이 될 거예요")</f>
        <v/>
      </c>
      <c r="C55" s="14">
        <f>COUNTIFS('💡 이게 있으면 좋겠어요'!C2:C51,A55,'💡 이게 있으면 좋겠어요'!F2:F51,"⭐⭐ 가끔 도움이 될 거예요")</f>
        <v/>
      </c>
      <c r="D55" s="14">
        <f>COUNTIFS('💡 이게 있으면 좋겠어요'!C2:C51,A55,'💡 이게 있으면 좋겠어요'!F2:F51,"⭐ 있으면 좋겠어요")</f>
        <v/>
      </c>
      <c r="E55" s="14">
        <f>SUM(B55:D55)</f>
        <v/>
      </c>
    </row>
    <row r="56">
      <c r="A56" s="14" t="inlineStr">
        <is>
          <t>채용 관리 (HR)</t>
        </is>
      </c>
      <c r="B56" s="14">
        <f>COUNTIFS('💡 이게 있으면 좋겠어요'!C2:C51,A56,'💡 이게 있으면 좋겠어요'!F2:F51,"⭐⭐⭐ 매일 도움이 될 거예요")</f>
        <v/>
      </c>
      <c r="C56" s="14">
        <f>COUNTIFS('💡 이게 있으면 좋겠어요'!C2:C51,A56,'💡 이게 있으면 좋겠어요'!F2:F51,"⭐⭐ 가끔 도움이 될 거예요")</f>
        <v/>
      </c>
      <c r="D56" s="14">
        <f>COUNTIFS('💡 이게 있으면 좋겠어요'!C2:C51,A56,'💡 이게 있으면 좋겠어요'!F2:F51,"⭐ 있으면 좋겠어요")</f>
        <v/>
      </c>
      <c r="E56" s="14">
        <f>SUM(B56:D56)</f>
        <v/>
      </c>
    </row>
    <row r="57">
      <c r="A57" s="14" t="inlineStr">
        <is>
          <t>평가 관리 (HR)</t>
        </is>
      </c>
      <c r="B57" s="14">
        <f>COUNTIFS('💡 이게 있으면 좋겠어요'!C2:C51,A57,'💡 이게 있으면 좋겠어요'!F2:F51,"⭐⭐⭐ 매일 도움이 될 거예요")</f>
        <v/>
      </c>
      <c r="C57" s="14">
        <f>COUNTIFS('💡 이게 있으면 좋겠어요'!C2:C51,A57,'💡 이게 있으면 좋겠어요'!F2:F51,"⭐⭐ 가끔 도움이 될 거예요")</f>
        <v/>
      </c>
      <c r="D57" s="14">
        <f>COUNTIFS('💡 이게 있으면 좋겠어요'!C2:C51,A57,'💡 이게 있으면 좋겠어요'!F2:F51,"⭐ 있으면 좋겠어요")</f>
        <v/>
      </c>
      <c r="E57" s="14">
        <f>SUM(B57:D57)</f>
        <v/>
      </c>
    </row>
    <row r="58">
      <c r="A58" s="14" t="inlineStr">
        <is>
          <t>보상 관리 (HR)</t>
        </is>
      </c>
      <c r="B58" s="14">
        <f>COUNTIFS('💡 이게 있으면 좋겠어요'!C2:C51,A58,'💡 이게 있으면 좋겠어요'!F2:F51,"⭐⭐⭐ 매일 도움이 될 거예요")</f>
        <v/>
      </c>
      <c r="C58" s="14">
        <f>COUNTIFS('💡 이게 있으면 좋겠어요'!C2:C51,A58,'💡 이게 있으면 좋겠어요'!F2:F51,"⭐⭐ 가끔 도움이 될 거예요")</f>
        <v/>
      </c>
      <c r="D58" s="14">
        <f>COUNTIFS('💡 이게 있으면 좋겠어요'!C2:C51,A58,'💡 이게 있으면 좋겠어요'!F2:F51,"⭐ 있으면 좋겠어요")</f>
        <v/>
      </c>
      <c r="E58" s="14">
        <f>SUM(B58:D58)</f>
        <v/>
      </c>
    </row>
    <row r="59">
      <c r="A59" s="14" t="inlineStr">
        <is>
          <t>온보딩·오프보딩 (HR)</t>
        </is>
      </c>
      <c r="B59" s="14">
        <f>COUNTIFS('💡 이게 있으면 좋겠어요'!C2:C51,A59,'💡 이게 있으면 좋겠어요'!F2:F51,"⭐⭐⭐ 매일 도움이 될 거예요")</f>
        <v/>
      </c>
      <c r="C59" s="14">
        <f>COUNTIFS('💡 이게 있으면 좋겠어요'!C2:C51,A59,'💡 이게 있으면 좋겠어요'!F2:F51,"⭐⭐ 가끔 도움이 될 거예요")</f>
        <v/>
      </c>
      <c r="D59" s="14">
        <f>COUNTIFS('💡 이게 있으면 좋겠어요'!C2:C51,A59,'💡 이게 있으면 좋겠어요'!F2:F51,"⭐ 있으면 좋겠어요")</f>
        <v/>
      </c>
      <c r="E59" s="14">
        <f>SUM(B59:D59)</f>
        <v/>
      </c>
    </row>
    <row r="60">
      <c r="A60" s="14" t="inlineStr">
        <is>
          <t>마스터데이터·설정 (HR)</t>
        </is>
      </c>
      <c r="B60" s="14">
        <f>COUNTIFS('💡 이게 있으면 좋겠어요'!C2:C51,A60,'💡 이게 있으면 좋겠어요'!F2:F51,"⭐⭐⭐ 매일 도움이 될 거예요")</f>
        <v/>
      </c>
      <c r="C60" s="14">
        <f>COUNTIFS('💡 이게 있으면 좋겠어요'!C2:C51,A60,'💡 이게 있으면 좋겠어요'!F2:F51,"⭐⭐ 가끔 도움이 될 거예요")</f>
        <v/>
      </c>
      <c r="D60" s="14">
        <f>COUNTIFS('💡 이게 있으면 좋겠어요'!C2:C51,A60,'💡 이게 있으면 좋겠어요'!F2:F51,"⭐ 있으면 좋겠어요")</f>
        <v/>
      </c>
      <c r="E60" s="14">
        <f>SUM(B60:D60)</f>
        <v/>
      </c>
    </row>
    <row r="61">
      <c r="A61" s="14" t="inlineStr">
        <is>
          <t>컴플라이언스 (HR)</t>
        </is>
      </c>
      <c r="B61" s="14">
        <f>COUNTIFS('💡 이게 있으면 좋겠어요'!C2:C51,A61,'💡 이게 있으면 좋겠어요'!F2:F51,"⭐⭐⭐ 매일 도움이 될 거예요")</f>
        <v/>
      </c>
      <c r="C61" s="14">
        <f>COUNTIFS('💡 이게 있으면 좋겠어요'!C2:C51,A61,'💡 이게 있으면 좋겠어요'!F2:F51,"⭐⭐ 가끔 도움이 될 거예요")</f>
        <v/>
      </c>
      <c r="D61" s="14">
        <f>COUNTIFS('💡 이게 있으면 좋겠어요'!C2:C51,A61,'💡 이게 있으면 좋겠어요'!F2:F51,"⭐ 있으면 좋겠어요")</f>
        <v/>
      </c>
      <c r="E61" s="14">
        <f>SUM(B61:D61)</f>
        <v/>
      </c>
    </row>
    <row r="62">
      <c r="A62" s="14" t="inlineStr">
        <is>
          <t>기타</t>
        </is>
      </c>
      <c r="B62" s="14">
        <f>COUNTIFS('💡 이게 있으면 좋겠어요'!C2:C51,A62,'💡 이게 있으면 좋겠어요'!F2:F51,"⭐⭐⭐ 매일 도움이 될 거예요")</f>
        <v/>
      </c>
      <c r="C62" s="14">
        <f>COUNTIFS('💡 이게 있으면 좋겠어요'!C2:C51,A62,'💡 이게 있으면 좋겠어요'!F2:F51,"⭐⭐ 가끔 도움이 될 거예요")</f>
        <v/>
      </c>
      <c r="D62" s="14">
        <f>COUNTIFS('💡 이게 있으면 좋겠어요'!C2:C51,A62,'💡 이게 있으면 좋겠어요'!F2:F51,"⭐ 있으면 좋겠어요")</f>
        <v/>
      </c>
      <c r="E62" s="14">
        <f>SUM(B62:D62)</f>
        <v/>
      </c>
    </row>
    <row r="63">
      <c r="A63" s="13" t="inlineStr">
        <is>
          <t>합계</t>
        </is>
      </c>
      <c r="B63" s="13">
        <f>SUM(B37:B62)</f>
        <v/>
      </c>
      <c r="C63" s="13">
        <f>SUM(C37:C62)</f>
        <v/>
      </c>
      <c r="D63" s="13">
        <f>SUM(D37:D62)</f>
        <v/>
      </c>
      <c r="E63" s="13">
        <f>SUM(E37:E62)</f>
        <v/>
      </c>
    </row>
    <row r="66">
      <c r="A66" s="3" t="inlineStr">
        <is>
          <t>3️⃣ 전체 요약</t>
        </is>
      </c>
    </row>
    <row r="67" ht="22" customHeight="1">
      <c r="A67" s="15" t="inlineStr">
        <is>
          <t>전체 문제 신고 건수</t>
        </is>
      </c>
      <c r="B67" s="16">
        <f>COUNTA('🔴 이건 잘 안돼요'!A2:A51)</f>
        <v/>
      </c>
    </row>
    <row r="68" ht="22" customHeight="1">
      <c r="A68" s="15" t="inlineStr">
        <is>
          <t xml:space="preserve">  └ 🔴 일이 안 돼요</t>
        </is>
      </c>
      <c r="B68" s="16">
        <f>COUNTIF('🔴 이건 잘 안돼요'!F2:F51,"🔴 일이 안 돼요 (업무 불가능)")</f>
        <v/>
      </c>
    </row>
    <row r="69" ht="22" customHeight="1">
      <c r="A69" s="15" t="inlineStr">
        <is>
          <t xml:space="preserve">  └ 🟡 불편하지만 우회</t>
        </is>
      </c>
      <c r="B69" s="16">
        <f>COUNTIF('🔴 이건 잘 안돼요'!F2:F51,"🟡 불편하지만 우회 가능")</f>
        <v/>
      </c>
    </row>
    <row r="70" ht="22" customHeight="1">
      <c r="A70" s="15" t="inlineStr">
        <is>
          <t xml:space="preserve">  └ 🟢 사소</t>
        </is>
      </c>
      <c r="B70" s="16">
        <f>COUNTIF('🔴 이건 잘 안돼요'!F2:F51,"🟢 사소해요 (별 문제 없음)")</f>
        <v/>
      </c>
    </row>
    <row r="71" ht="22" customHeight="1">
      <c r="A71" s="15" t="inlineStr">
        <is>
          <t>전체 개선 제안 건수</t>
        </is>
      </c>
      <c r="B71" s="16">
        <f>COUNTA('💡 이게 있으면 좋겠어요'!A2:A51)</f>
        <v/>
      </c>
    </row>
    <row r="72" ht="22" customHeight="1">
      <c r="A72" s="15" t="inlineStr">
        <is>
          <t xml:space="preserve">  └ ⭐⭐⭐ 매일 도움</t>
        </is>
      </c>
      <c r="B72" s="16">
        <f>COUNTIF('💡 이게 있으면 좋겠어요'!F2:F51,"⭐⭐⭐ 매일 도움이 될 거예요")</f>
        <v/>
      </c>
    </row>
    <row r="73" ht="22" customHeight="1">
      <c r="A73" s="15" t="inlineStr">
        <is>
          <t xml:space="preserve">  └ ⭐⭐ 가끔 도움</t>
        </is>
      </c>
      <c r="B73" s="16">
        <f>COUNTIF('💡 이게 있으면 좋겠어요'!F2:F51,"⭐⭐ 가끔 도움이 될 거예요")</f>
        <v/>
      </c>
    </row>
    <row r="74" ht="22" customHeight="1">
      <c r="A74" s="15" t="inlineStr">
        <is>
          <t xml:space="preserve">  └ ⭐ 있으면 좋음</t>
        </is>
      </c>
      <c r="B74" s="16">
        <f>COUNTIF('💡 이게 있으면 좋겠어요'!F2:F51,"⭐ 있으면 좋겠어요")</f>
        <v/>
      </c>
    </row>
    <row r="75" ht="22" customHeight="1">
      <c r="A75" s="15" t="inlineStr">
        <is>
          <t>테스터 수 (문제 신고 기준)</t>
        </is>
      </c>
      <c r="B75" s="16">
        <f>SUMPRODUCT((COUNTIF('🔴 이건 잘 안돼요'!A2:A51,'🔴 이건 잘 안돼요'!A2:A51)&lt;&gt;0)/COUNTIF('🔴 이건 잘 안돼요'!A2:A51,'🔴 이건 잘 안돼요'!A2:A51&amp;""))</f>
        <v/>
      </c>
    </row>
    <row r="78">
      <c r="A78" s="3" t="inlineStr">
        <is>
          <t>4️⃣ 관리자 매핑 가이드</t>
        </is>
      </c>
    </row>
    <row r="79" ht="140" customHeight="1">
      <c r="A79" s="12" t="inlineStr">
        <is>
          <t>본 사무직 폼은 직원이 자유롭게 입력합니다. UAT 관리자는 매일 다음을 수행:
  1) 새로 추가된 문제·제안 검토
  2) 개발자용 UAT_피드백_결과_v2.xlsx 피드백 로그에 FB-XXX 이슈로 옮겨 적기
     - 화면 → 정확한 모듈 매핑
     - 🔴/🟡/🟢 → Critical/Major/Minor 매핑 (필요 시 격상·격하)
     - ⭐ → 개선 항목으로 분류
  3) 중복 건은 사무직 폼 비고에 "FB-XXX와 동일" 표기 후 통합</t>
        </is>
      </c>
    </row>
  </sheetData>
  <mergeCells count="3">
    <mergeCell ref="A79:G79"/>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2026-05-12T23:07:58Z</dcterms:created>
  <dcterms:modified xmlns:dcterms="http://purl.org/dc/terms/" xmlns:xsi="http://www.w3.org/2001/XMLSchema-instance" xsi:type="dcterms:W3CDTF">2026-05-12T23:07:58Z</dcterms:modified>
</cp:coreProperties>
</file>