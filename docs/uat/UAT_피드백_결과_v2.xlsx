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리포트 작성법" sheetId="1" state="visible" r:id="rId1"/>
    <sheet xmlns:r="http://schemas.openxmlformats.org/officeDocument/2006/relationships" name="피드백 로그" sheetId="2" state="visible" r:id="rId2"/>
    <sheet xmlns:r="http://schemas.openxmlformats.org/officeDocument/2006/relationships" name="일별 트리아지" sheetId="3" state="visible" r:id="rId3"/>
    <sheet xmlns:r="http://schemas.openxmlformats.org/officeDocument/2006/relationships" name="모듈별 집계" sheetId="4" state="visible" r:id="rId4"/>
    <sheet xmlns:r="http://schemas.openxmlformats.org/officeDocument/2006/relationships" name="심각도별 집계" sheetId="5" state="visible" r:id="rId5"/>
    <sheet xmlns:r="http://schemas.openxmlformats.org/officeDocument/2006/relationships" name="UAT 판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Malgun Gothic"/>
      <b val="1"/>
      <color rgb="001F4E78"/>
      <sz val="14"/>
    </font>
    <font>
      <name val="Malgun Gothic"/>
      <b val="1"/>
      <color rgb="001F4E78"/>
      <sz val="11"/>
    </font>
    <font>
      <name val="Malgun Gothic"/>
      <b val="1"/>
      <color rgb="00FFFFFF"/>
      <sz val="11"/>
    </font>
    <font>
      <name val="Malgun Gothic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2" borderId="1" pivotButton="0" quotePrefix="0" xfId="0"/>
    <xf numFmtId="164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dxfs count="4">
    <dxf>
      <font>
        <name val="Malgun Gothic"/>
        <b val="1"/>
        <color rgb="00FFFFFF"/>
        <sz val="11"/>
      </font>
      <fill>
        <patternFill patternType="solid">
          <fgColor rgb="00C00000"/>
        </patternFill>
      </fill>
    </dxf>
    <dxf>
      <font>
        <name val="Malgun Gothic"/>
        <color rgb="009C0006"/>
        <sz val="11"/>
      </font>
      <fill>
        <patternFill patternType="solid">
          <fgColor rgb="00FFC7CE"/>
        </patternFill>
      </fill>
    </dxf>
    <dxf>
      <font>
        <name val="Malgun Gothic"/>
        <color rgb="009C5700"/>
        <sz val="11"/>
      </font>
      <fill>
        <patternFill patternType="solid">
          <fgColor rgb="00FFEB9C"/>
        </patternFill>
      </fill>
    </dxf>
    <dxf>
      <font>
        <name val="Malgun Gothic"/>
        <color rgb="00006100"/>
        <sz val="11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6A6A6"/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CTR HR Hub UAT v2 피드백 리포트 작성 가이드</t>
        </is>
      </c>
    </row>
    <row r="3">
      <c r="A3" s="2" t="inlineStr">
        <is>
          <t>심각도 기준</t>
        </is>
      </c>
    </row>
    <row r="4">
      <c r="A4" s="3" t="inlineStr">
        <is>
          <t>심각도</t>
        </is>
      </c>
      <c r="B4" s="3" t="inlineStr">
        <is>
          <t>정의 / 예시</t>
        </is>
      </c>
    </row>
    <row r="5">
      <c r="A5" s="4" t="inlineStr">
        <is>
          <t>Critical</t>
        </is>
      </c>
      <c r="B5" s="4" t="inlineStr">
        <is>
          <t>시스템 사용 불가, 데이터 손실/유출 (예: 로그인 불가, 급여 오계산, 타 법인 데이터 노출)</t>
        </is>
      </c>
    </row>
    <row r="6">
      <c r="A6" s="4" t="inlineStr">
        <is>
          <t>Major</t>
        </is>
      </c>
      <c r="B6" s="4" t="inlineStr">
        <is>
          <t>핵심 업무 수행 방해 (예: 휴가 신청 실패, 결재 안됨, 직원 등록 오류)</t>
        </is>
      </c>
    </row>
    <row r="7">
      <c r="A7" s="4" t="inlineStr">
        <is>
          <t>Minor</t>
        </is>
      </c>
      <c r="B7" s="4" t="inlineStr">
        <is>
          <t>불편하지만 우회 가능 (예: UI 깨짐, 번역 누락, 느린 로딩)</t>
        </is>
      </c>
    </row>
    <row r="8">
      <c r="A8" s="4" t="inlineStr">
        <is>
          <t>개선</t>
        </is>
      </c>
      <c r="B8" s="4" t="inlineStr">
        <is>
          <t>기능 개선 제안 (예: UX 개선, 필터 추가, 라벨 변경)</t>
        </is>
      </c>
    </row>
    <row r="11">
      <c r="A11" s="2" t="inlineStr">
        <is>
          <t>작성 예시</t>
        </is>
      </c>
    </row>
    <row r="12">
      <c r="A12" s="3" t="inlineStr">
        <is>
          <t>필드</t>
        </is>
      </c>
      <c r="B12" s="3" t="inlineStr">
        <is>
          <t>예시 값</t>
        </is>
      </c>
    </row>
    <row r="13">
      <c r="A13" s="4" t="inlineStr">
        <is>
          <t>이슈ID</t>
        </is>
      </c>
      <c r="B13" s="4" t="inlineStr">
        <is>
          <t>FB-007</t>
        </is>
      </c>
    </row>
    <row r="14">
      <c r="A14" s="4" t="inlineStr">
        <is>
          <t>모듈</t>
        </is>
      </c>
      <c r="B14" s="4" t="inlineStr">
        <is>
          <t>휴가관리</t>
        </is>
      </c>
    </row>
    <row r="15">
      <c r="A15" s="4" t="inlineStr">
        <is>
          <t>시나리오/항목#</t>
        </is>
      </c>
      <c r="B15" s="4" t="inlineStr">
        <is>
          <t>휴가관리 Step 7 (반차 신청)</t>
        </is>
      </c>
    </row>
    <row r="16">
      <c r="A16" s="4" t="inlineStr">
        <is>
          <t>설명</t>
        </is>
      </c>
      <c r="B16" s="4" t="inlineStr">
        <is>
          <t>반차 신청 시 잔여일수가 1일 차감됨 (0.5일이어야 함)</t>
        </is>
      </c>
    </row>
    <row r="17">
      <c r="A17" s="4" t="inlineStr">
        <is>
          <t>기대결과</t>
        </is>
      </c>
      <c r="B17" s="4" t="inlineStr">
        <is>
          <t>반차 신청 후 잔여일수 14.5일</t>
        </is>
      </c>
    </row>
    <row r="18">
      <c r="A18" s="4" t="inlineStr">
        <is>
          <t>실제결과</t>
        </is>
      </c>
      <c r="B18" s="4" t="inlineStr">
        <is>
          <t>잔여일수 14일로 표시</t>
        </is>
      </c>
    </row>
    <row r="19">
      <c r="A19" s="4" t="inlineStr">
        <is>
          <t>심각도</t>
        </is>
      </c>
      <c r="B19" s="4" t="inlineStr">
        <is>
          <t>Major</t>
        </is>
      </c>
    </row>
    <row r="20">
      <c r="A20" s="4" t="inlineStr">
        <is>
          <t>스크린샷</t>
        </is>
      </c>
      <c r="B20" s="4" t="inlineStr">
        <is>
          <t>(캡처 이미지 첨부)</t>
        </is>
      </c>
    </row>
    <row r="21">
      <c r="A21" s="4" t="inlineStr">
        <is>
          <t>테스터</t>
        </is>
      </c>
      <c r="B21" s="4" t="inlineStr">
        <is>
          <t>한지영</t>
        </is>
      </c>
    </row>
    <row r="22">
      <c r="A22" s="4" t="inlineStr">
        <is>
          <t>발견일</t>
        </is>
      </c>
      <c r="B22" s="4" t="inlineStr">
        <is>
          <t>2026-05-20</t>
        </is>
      </c>
    </row>
    <row r="23">
      <c r="A23" s="4" t="inlineStr">
        <is>
          <t>상태</t>
        </is>
      </c>
      <c r="B23" s="4" t="inlineStr">
        <is>
          <t>신규</t>
        </is>
      </c>
    </row>
    <row r="24">
      <c r="A24" s="4" t="inlineStr">
        <is>
          <t>Go-live 차단</t>
        </is>
      </c>
      <c r="B24" s="4" t="inlineStr">
        <is>
          <t>비차단</t>
        </is>
      </c>
    </row>
    <row r="27">
      <c r="A27" s="2" t="inlineStr">
        <is>
          <t>리포트 규칙</t>
        </is>
      </c>
    </row>
    <row r="28">
      <c r="A28" s="5" t="inlineStr">
        <is>
          <t>1. 스크린샷은 필수 (Print Screen → Excel에 붙여넣기)</t>
        </is>
      </c>
    </row>
    <row r="29">
      <c r="A29" s="5" t="inlineStr">
        <is>
          <t>2. URL은 브라우저 주소창에서 복사하여 비고에 기록</t>
        </is>
      </c>
    </row>
    <row r="30">
      <c r="A30" s="5" t="inlineStr">
        <is>
          <t>3. 재현 스텝은 최대한 구체적으로 기록 (수행한 클릭 순서)</t>
        </is>
      </c>
    </row>
    <row r="31">
      <c r="A31" s="5" t="inlineStr">
        <is>
          <t>4. 이미 보고된 건은 중복 기입하지 않고, 기존 이슈ID를 비고에 참조</t>
        </is>
      </c>
    </row>
    <row r="32">
      <c r="A32" s="5" t="inlineStr">
        <is>
          <t>5. Critical 발견 시 즉시 UAT 관리자에게 구두 보고</t>
        </is>
      </c>
    </row>
    <row r="33">
      <c r="A33" s="5" t="inlineStr">
        <is>
          <t>6. v1에 없던 신규 기능 (V2 홈, Compensation Letter, Off-Cycle Comp, GoalRevision, QuarterlyReview 듀얼제출, 캘리브레이션 DnD, 인수인계 4 게이트, do-not-rehire, dept_head 결재, 알림 센터, 지정연차) 검증 시 매뉴얼 §1~§10을 먼저 읽고 기대 결과를 명확히 한 후 보고</t>
        </is>
      </c>
    </row>
  </sheetData>
  <mergeCells count="7">
    <mergeCell ref="A30:B30"/>
    <mergeCell ref="A29:B29"/>
    <mergeCell ref="A33:B33"/>
    <mergeCell ref="A28:B28"/>
    <mergeCell ref="A32:B32"/>
    <mergeCell ref="A1:B1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35" customWidth="1" min="4" max="4"/>
    <col width="30" customWidth="1" min="5" max="5"/>
    <col width="30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4" customWidth="1" min="14" max="14"/>
    <col width="12" customWidth="1" min="15" max="15"/>
    <col width="14" customWidth="1" min="16" max="16"/>
    <col width="12" customWidth="1" min="17" max="17"/>
    <col width="24" customWidth="1" min="18" max="18"/>
  </cols>
  <sheetData>
    <row r="1" ht="30" customHeight="1">
      <c r="A1" s="6" t="inlineStr">
        <is>
          <t>이슈ID</t>
        </is>
      </c>
      <c r="B1" s="6" t="inlineStr">
        <is>
          <t>모듈</t>
        </is>
      </c>
      <c r="C1" s="6" t="inlineStr">
        <is>
          <t>시나리오/항목#</t>
        </is>
      </c>
      <c r="D1" s="6" t="inlineStr">
        <is>
          <t>설명</t>
        </is>
      </c>
      <c r="E1" s="6" t="inlineStr">
        <is>
          <t>기대결과</t>
        </is>
      </c>
      <c r="F1" s="6" t="inlineStr">
        <is>
          <t>실제결과</t>
        </is>
      </c>
      <c r="G1" s="6" t="inlineStr">
        <is>
          <t>심각도</t>
        </is>
      </c>
      <c r="H1" s="6" t="inlineStr">
        <is>
          <t>스크린샷</t>
        </is>
      </c>
      <c r="I1" s="6" t="inlineStr">
        <is>
          <t>테스터</t>
        </is>
      </c>
      <c r="J1" s="6" t="inlineStr">
        <is>
          <t>발견일</t>
        </is>
      </c>
      <c r="K1" s="6" t="inlineStr">
        <is>
          <t>상태</t>
        </is>
      </c>
      <c r="L1" s="6" t="inlineStr">
        <is>
          <t>재테스트 상태</t>
        </is>
      </c>
      <c r="M1" s="6" t="inlineStr">
        <is>
          <t>결함 경과일</t>
        </is>
      </c>
      <c r="N1" s="6" t="inlineStr">
        <is>
          <t>담당자</t>
        </is>
      </c>
      <c r="O1" s="6" t="inlineStr">
        <is>
          <t>수용/보류</t>
        </is>
      </c>
      <c r="P1" s="6" t="inlineStr">
        <is>
          <t>Go-live 차단</t>
        </is>
      </c>
      <c r="Q1" s="6" t="inlineStr">
        <is>
          <t>해결일</t>
        </is>
      </c>
      <c r="R1" s="6" t="inlineStr">
        <is>
          <t>비고</t>
        </is>
      </c>
    </row>
    <row r="2" ht="30" customHeight="1">
      <c r="A2" s="4" t="inlineStr">
        <is>
          <t>FB-001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4">
        <f>IFERROR(IF(J2="","",TODAY()-J2),"")</f>
        <v/>
      </c>
      <c r="N2" s="7" t="n"/>
      <c r="O2" s="7" t="n"/>
      <c r="P2" s="7" t="n"/>
      <c r="Q2" s="7" t="n"/>
      <c r="R2" s="7" t="n"/>
    </row>
    <row r="3" ht="30" customHeight="1">
      <c r="A3" s="4" t="inlineStr">
        <is>
          <t>FB-002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">
        <f>IFERROR(IF(J3="","",TODAY()-J3),"")</f>
        <v/>
      </c>
      <c r="N3" s="7" t="n"/>
      <c r="O3" s="7" t="n"/>
      <c r="P3" s="7" t="n"/>
      <c r="Q3" s="7" t="n"/>
      <c r="R3" s="7" t="n"/>
    </row>
    <row r="4" ht="30" customHeight="1">
      <c r="A4" s="4" t="inlineStr">
        <is>
          <t>FB-003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4">
        <f>IFERROR(IF(J4="","",TODAY()-J4),"")</f>
        <v/>
      </c>
      <c r="N4" s="7" t="n"/>
      <c r="O4" s="7" t="n"/>
      <c r="P4" s="7" t="n"/>
      <c r="Q4" s="7" t="n"/>
      <c r="R4" s="7" t="n"/>
    </row>
    <row r="5" ht="30" customHeight="1">
      <c r="A5" s="4" t="inlineStr">
        <is>
          <t>FB-004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4">
        <f>IFERROR(IF(J5="","",TODAY()-J5),"")</f>
        <v/>
      </c>
      <c r="N5" s="7" t="n"/>
      <c r="O5" s="7" t="n"/>
      <c r="P5" s="7" t="n"/>
      <c r="Q5" s="7" t="n"/>
      <c r="R5" s="7" t="n"/>
    </row>
    <row r="6" ht="30" customHeight="1">
      <c r="A6" s="4" t="inlineStr">
        <is>
          <t>FB-005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4">
        <f>IFERROR(IF(J6="","",TODAY()-J6),"")</f>
        <v/>
      </c>
      <c r="N6" s="7" t="n"/>
      <c r="O6" s="7" t="n"/>
      <c r="P6" s="7" t="n"/>
      <c r="Q6" s="7" t="n"/>
      <c r="R6" s="7" t="n"/>
    </row>
    <row r="7" ht="30" customHeight="1">
      <c r="A7" s="4" t="inlineStr">
        <is>
          <t>FB-006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4">
        <f>IFERROR(IF(J7="","",TODAY()-J7),"")</f>
        <v/>
      </c>
      <c r="N7" s="7" t="n"/>
      <c r="O7" s="7" t="n"/>
      <c r="P7" s="7" t="n"/>
      <c r="Q7" s="7" t="n"/>
      <c r="R7" s="7" t="n"/>
    </row>
    <row r="8" ht="30" customHeight="1">
      <c r="A8" s="4" t="inlineStr">
        <is>
          <t>FB-007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4">
        <f>IFERROR(IF(J8="","",TODAY()-J8),"")</f>
        <v/>
      </c>
      <c r="N8" s="7" t="n"/>
      <c r="O8" s="7" t="n"/>
      <c r="P8" s="7" t="n"/>
      <c r="Q8" s="7" t="n"/>
      <c r="R8" s="7" t="n"/>
    </row>
    <row r="9" ht="30" customHeight="1">
      <c r="A9" s="4" t="inlineStr">
        <is>
          <t>FB-008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4">
        <f>IFERROR(IF(J9="","",TODAY()-J9),"")</f>
        <v/>
      </c>
      <c r="N9" s="7" t="n"/>
      <c r="O9" s="7" t="n"/>
      <c r="P9" s="7" t="n"/>
      <c r="Q9" s="7" t="n"/>
      <c r="R9" s="7" t="n"/>
    </row>
    <row r="10" ht="30" customHeight="1">
      <c r="A10" s="4" t="inlineStr">
        <is>
          <t>FB-009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4">
        <f>IFERROR(IF(J10="","",TODAY()-J10),"")</f>
        <v/>
      </c>
      <c r="N10" s="7" t="n"/>
      <c r="O10" s="7" t="n"/>
      <c r="P10" s="7" t="n"/>
      <c r="Q10" s="7" t="n"/>
      <c r="R10" s="7" t="n"/>
    </row>
    <row r="11" ht="30" customHeight="1">
      <c r="A11" s="4" t="inlineStr">
        <is>
          <t>FB-010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4">
        <f>IFERROR(IF(J11="","",TODAY()-J11),"")</f>
        <v/>
      </c>
      <c r="N11" s="7" t="n"/>
      <c r="O11" s="7" t="n"/>
      <c r="P11" s="7" t="n"/>
      <c r="Q11" s="7" t="n"/>
      <c r="R11" s="7" t="n"/>
    </row>
    <row r="12" ht="30" customHeight="1">
      <c r="A12" s="4" t="inlineStr">
        <is>
          <t>FB-011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4">
        <f>IFERROR(IF(J12="","",TODAY()-J12),"")</f>
        <v/>
      </c>
      <c r="N12" s="7" t="n"/>
      <c r="O12" s="7" t="n"/>
      <c r="P12" s="7" t="n"/>
      <c r="Q12" s="7" t="n"/>
      <c r="R12" s="7" t="n"/>
    </row>
    <row r="13" ht="30" customHeight="1">
      <c r="A13" s="4" t="inlineStr">
        <is>
          <t>FB-012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4">
        <f>IFERROR(IF(J13="","",TODAY()-J13),"")</f>
        <v/>
      </c>
      <c r="N13" s="7" t="n"/>
      <c r="O13" s="7" t="n"/>
      <c r="P13" s="7" t="n"/>
      <c r="Q13" s="7" t="n"/>
      <c r="R13" s="7" t="n"/>
    </row>
    <row r="14" ht="30" customHeight="1">
      <c r="A14" s="4" t="inlineStr">
        <is>
          <t>FB-013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4">
        <f>IFERROR(IF(J14="","",TODAY()-J14),"")</f>
        <v/>
      </c>
      <c r="N14" s="7" t="n"/>
      <c r="O14" s="7" t="n"/>
      <c r="P14" s="7" t="n"/>
      <c r="Q14" s="7" t="n"/>
      <c r="R14" s="7" t="n"/>
    </row>
    <row r="15" ht="30" customHeight="1">
      <c r="A15" s="4" t="inlineStr">
        <is>
          <t>FB-014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4">
        <f>IFERROR(IF(J15="","",TODAY()-J15),"")</f>
        <v/>
      </c>
      <c r="N15" s="7" t="n"/>
      <c r="O15" s="7" t="n"/>
      <c r="P15" s="7" t="n"/>
      <c r="Q15" s="7" t="n"/>
      <c r="R15" s="7" t="n"/>
    </row>
    <row r="16" ht="30" customHeight="1">
      <c r="A16" s="4" t="inlineStr">
        <is>
          <t>FB-015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4">
        <f>IFERROR(IF(J16="","",TODAY()-J16),"")</f>
        <v/>
      </c>
      <c r="N16" s="7" t="n"/>
      <c r="O16" s="7" t="n"/>
      <c r="P16" s="7" t="n"/>
      <c r="Q16" s="7" t="n"/>
      <c r="R16" s="7" t="n"/>
    </row>
    <row r="17" ht="30" customHeight="1">
      <c r="A17" s="4" t="inlineStr">
        <is>
          <t>FB-016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4">
        <f>IFERROR(IF(J17="","",TODAY()-J17),"")</f>
        <v/>
      </c>
      <c r="N17" s="7" t="n"/>
      <c r="O17" s="7" t="n"/>
      <c r="P17" s="7" t="n"/>
      <c r="Q17" s="7" t="n"/>
      <c r="R17" s="7" t="n"/>
    </row>
    <row r="18" ht="30" customHeight="1">
      <c r="A18" s="4" t="inlineStr">
        <is>
          <t>FB-017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4">
        <f>IFERROR(IF(J18="","",TODAY()-J18),"")</f>
        <v/>
      </c>
      <c r="N18" s="7" t="n"/>
      <c r="O18" s="7" t="n"/>
      <c r="P18" s="7" t="n"/>
      <c r="Q18" s="7" t="n"/>
      <c r="R18" s="7" t="n"/>
    </row>
    <row r="19" ht="30" customHeight="1">
      <c r="A19" s="4" t="inlineStr">
        <is>
          <t>FB-018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4">
        <f>IFERROR(IF(J19="","",TODAY()-J19),"")</f>
        <v/>
      </c>
      <c r="N19" s="7" t="n"/>
      <c r="O19" s="7" t="n"/>
      <c r="P19" s="7" t="n"/>
      <c r="Q19" s="7" t="n"/>
      <c r="R19" s="7" t="n"/>
    </row>
    <row r="20" ht="30" customHeight="1">
      <c r="A20" s="4" t="inlineStr">
        <is>
          <t>FB-019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4">
        <f>IFERROR(IF(J20="","",TODAY()-J20),"")</f>
        <v/>
      </c>
      <c r="N20" s="7" t="n"/>
      <c r="O20" s="7" t="n"/>
      <c r="P20" s="7" t="n"/>
      <c r="Q20" s="7" t="n"/>
      <c r="R20" s="7" t="n"/>
    </row>
    <row r="21" ht="30" customHeight="1">
      <c r="A21" s="4" t="inlineStr">
        <is>
          <t>FB-020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4">
        <f>IFERROR(IF(J21="","",TODAY()-J21),"")</f>
        <v/>
      </c>
      <c r="N21" s="7" t="n"/>
      <c r="O21" s="7" t="n"/>
      <c r="P21" s="7" t="n"/>
      <c r="Q21" s="7" t="n"/>
      <c r="R21" s="7" t="n"/>
    </row>
    <row r="22" ht="30" customHeight="1">
      <c r="A22" s="4" t="inlineStr">
        <is>
          <t>FB-021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4">
        <f>IFERROR(IF(J22="","",TODAY()-J22),"")</f>
        <v/>
      </c>
      <c r="N22" s="7" t="n"/>
      <c r="O22" s="7" t="n"/>
      <c r="P22" s="7" t="n"/>
      <c r="Q22" s="7" t="n"/>
      <c r="R22" s="7" t="n"/>
    </row>
    <row r="23" ht="30" customHeight="1">
      <c r="A23" s="4" t="inlineStr">
        <is>
          <t>FB-022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4">
        <f>IFERROR(IF(J23="","",TODAY()-J23),"")</f>
        <v/>
      </c>
      <c r="N23" s="7" t="n"/>
      <c r="O23" s="7" t="n"/>
      <c r="P23" s="7" t="n"/>
      <c r="Q23" s="7" t="n"/>
      <c r="R23" s="7" t="n"/>
    </row>
    <row r="24" ht="30" customHeight="1">
      <c r="A24" s="4" t="inlineStr">
        <is>
          <t>FB-023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4">
        <f>IFERROR(IF(J24="","",TODAY()-J24),"")</f>
        <v/>
      </c>
      <c r="N24" s="7" t="n"/>
      <c r="O24" s="7" t="n"/>
      <c r="P24" s="7" t="n"/>
      <c r="Q24" s="7" t="n"/>
      <c r="R24" s="7" t="n"/>
    </row>
    <row r="25" ht="30" customHeight="1">
      <c r="A25" s="4" t="inlineStr">
        <is>
          <t>FB-024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4">
        <f>IFERROR(IF(J25="","",TODAY()-J25),"")</f>
        <v/>
      </c>
      <c r="N25" s="7" t="n"/>
      <c r="O25" s="7" t="n"/>
      <c r="P25" s="7" t="n"/>
      <c r="Q25" s="7" t="n"/>
      <c r="R25" s="7" t="n"/>
    </row>
    <row r="26" ht="30" customHeight="1">
      <c r="A26" s="4" t="inlineStr">
        <is>
          <t>FB-025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4">
        <f>IFERROR(IF(J26="","",TODAY()-J26),"")</f>
        <v/>
      </c>
      <c r="N26" s="7" t="n"/>
      <c r="O26" s="7" t="n"/>
      <c r="P26" s="7" t="n"/>
      <c r="Q26" s="7" t="n"/>
      <c r="R26" s="7" t="n"/>
    </row>
    <row r="27" ht="30" customHeight="1">
      <c r="A27" s="4" t="inlineStr">
        <is>
          <t>FB-026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4">
        <f>IFERROR(IF(J27="","",TODAY()-J27),"")</f>
        <v/>
      </c>
      <c r="N27" s="7" t="n"/>
      <c r="O27" s="7" t="n"/>
      <c r="P27" s="7" t="n"/>
      <c r="Q27" s="7" t="n"/>
      <c r="R27" s="7" t="n"/>
    </row>
    <row r="28" ht="30" customHeight="1">
      <c r="A28" s="4" t="inlineStr">
        <is>
          <t>FB-027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4">
        <f>IFERROR(IF(J28="","",TODAY()-J28),"")</f>
        <v/>
      </c>
      <c r="N28" s="7" t="n"/>
      <c r="O28" s="7" t="n"/>
      <c r="P28" s="7" t="n"/>
      <c r="Q28" s="7" t="n"/>
      <c r="R28" s="7" t="n"/>
    </row>
    <row r="29" ht="30" customHeight="1">
      <c r="A29" s="4" t="inlineStr">
        <is>
          <t>FB-028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4">
        <f>IFERROR(IF(J29="","",TODAY()-J29),"")</f>
        <v/>
      </c>
      <c r="N29" s="7" t="n"/>
      <c r="O29" s="7" t="n"/>
      <c r="P29" s="7" t="n"/>
      <c r="Q29" s="7" t="n"/>
      <c r="R29" s="7" t="n"/>
    </row>
    <row r="30" ht="30" customHeight="1">
      <c r="A30" s="4" t="inlineStr">
        <is>
          <t>FB-029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4">
        <f>IFERROR(IF(J30="","",TODAY()-J30),"")</f>
        <v/>
      </c>
      <c r="N30" s="7" t="n"/>
      <c r="O30" s="7" t="n"/>
      <c r="P30" s="7" t="n"/>
      <c r="Q30" s="7" t="n"/>
      <c r="R30" s="7" t="n"/>
    </row>
    <row r="31" ht="30" customHeight="1">
      <c r="A31" s="4" t="inlineStr">
        <is>
          <t>FB-030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4">
        <f>IFERROR(IF(J31="","",TODAY()-J31),"")</f>
        <v/>
      </c>
      <c r="N31" s="7" t="n"/>
      <c r="O31" s="7" t="n"/>
      <c r="P31" s="7" t="n"/>
      <c r="Q31" s="7" t="n"/>
      <c r="R31" s="7" t="n"/>
    </row>
    <row r="32" ht="30" customHeight="1">
      <c r="A32" s="4" t="inlineStr">
        <is>
          <t>FB-031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4">
        <f>IFERROR(IF(J32="","",TODAY()-J32),"")</f>
        <v/>
      </c>
      <c r="N32" s="7" t="n"/>
      <c r="O32" s="7" t="n"/>
      <c r="P32" s="7" t="n"/>
      <c r="Q32" s="7" t="n"/>
      <c r="R32" s="7" t="n"/>
    </row>
    <row r="33" ht="30" customHeight="1">
      <c r="A33" s="4" t="inlineStr">
        <is>
          <t>FB-032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4">
        <f>IFERROR(IF(J33="","",TODAY()-J33),"")</f>
        <v/>
      </c>
      <c r="N33" s="7" t="n"/>
      <c r="O33" s="7" t="n"/>
      <c r="P33" s="7" t="n"/>
      <c r="Q33" s="7" t="n"/>
      <c r="R33" s="7" t="n"/>
    </row>
    <row r="34" ht="30" customHeight="1">
      <c r="A34" s="4" t="inlineStr">
        <is>
          <t>FB-033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4">
        <f>IFERROR(IF(J34="","",TODAY()-J34),"")</f>
        <v/>
      </c>
      <c r="N34" s="7" t="n"/>
      <c r="O34" s="7" t="n"/>
      <c r="P34" s="7" t="n"/>
      <c r="Q34" s="7" t="n"/>
      <c r="R34" s="7" t="n"/>
    </row>
    <row r="35" ht="30" customHeight="1">
      <c r="A35" s="4" t="inlineStr">
        <is>
          <t>FB-034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4">
        <f>IFERROR(IF(J35="","",TODAY()-J35),"")</f>
        <v/>
      </c>
      <c r="N35" s="7" t="n"/>
      <c r="O35" s="7" t="n"/>
      <c r="P35" s="7" t="n"/>
      <c r="Q35" s="7" t="n"/>
      <c r="R35" s="7" t="n"/>
    </row>
    <row r="36" ht="30" customHeight="1">
      <c r="A36" s="4" t="inlineStr">
        <is>
          <t>FB-035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4">
        <f>IFERROR(IF(J36="","",TODAY()-J36),"")</f>
        <v/>
      </c>
      <c r="N36" s="7" t="n"/>
      <c r="O36" s="7" t="n"/>
      <c r="P36" s="7" t="n"/>
      <c r="Q36" s="7" t="n"/>
      <c r="R36" s="7" t="n"/>
    </row>
    <row r="37" ht="30" customHeight="1">
      <c r="A37" s="4" t="inlineStr">
        <is>
          <t>FB-036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4">
        <f>IFERROR(IF(J37="","",TODAY()-J37),"")</f>
        <v/>
      </c>
      <c r="N37" s="7" t="n"/>
      <c r="O37" s="7" t="n"/>
      <c r="P37" s="7" t="n"/>
      <c r="Q37" s="7" t="n"/>
      <c r="R37" s="7" t="n"/>
    </row>
    <row r="38" ht="30" customHeight="1">
      <c r="A38" s="4" t="inlineStr">
        <is>
          <t>FB-037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4">
        <f>IFERROR(IF(J38="","",TODAY()-J38),"")</f>
        <v/>
      </c>
      <c r="N38" s="7" t="n"/>
      <c r="O38" s="7" t="n"/>
      <c r="P38" s="7" t="n"/>
      <c r="Q38" s="7" t="n"/>
      <c r="R38" s="7" t="n"/>
    </row>
    <row r="39" ht="30" customHeight="1">
      <c r="A39" s="4" t="inlineStr">
        <is>
          <t>FB-038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4">
        <f>IFERROR(IF(J39="","",TODAY()-J39),"")</f>
        <v/>
      </c>
      <c r="N39" s="7" t="n"/>
      <c r="O39" s="7" t="n"/>
      <c r="P39" s="7" t="n"/>
      <c r="Q39" s="7" t="n"/>
      <c r="R39" s="7" t="n"/>
    </row>
    <row r="40" ht="30" customHeight="1">
      <c r="A40" s="4" t="inlineStr">
        <is>
          <t>FB-039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4">
        <f>IFERROR(IF(J40="","",TODAY()-J40),"")</f>
        <v/>
      </c>
      <c r="N40" s="7" t="n"/>
      <c r="O40" s="7" t="n"/>
      <c r="P40" s="7" t="n"/>
      <c r="Q40" s="7" t="n"/>
      <c r="R40" s="7" t="n"/>
    </row>
    <row r="41" ht="30" customHeight="1">
      <c r="A41" s="4" t="inlineStr">
        <is>
          <t>FB-040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4">
        <f>IFERROR(IF(J41="","",TODAY()-J41),"")</f>
        <v/>
      </c>
      <c r="N41" s="7" t="n"/>
      <c r="O41" s="7" t="n"/>
      <c r="P41" s="7" t="n"/>
      <c r="Q41" s="7" t="n"/>
      <c r="R41" s="7" t="n"/>
    </row>
    <row r="42" ht="30" customHeight="1">
      <c r="A42" s="4" t="inlineStr">
        <is>
          <t>FB-041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4">
        <f>IFERROR(IF(J42="","",TODAY()-J42),"")</f>
        <v/>
      </c>
      <c r="N42" s="7" t="n"/>
      <c r="O42" s="7" t="n"/>
      <c r="P42" s="7" t="n"/>
      <c r="Q42" s="7" t="n"/>
      <c r="R42" s="7" t="n"/>
    </row>
    <row r="43" ht="30" customHeight="1">
      <c r="A43" s="4" t="inlineStr">
        <is>
          <t>FB-042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4">
        <f>IFERROR(IF(J43="","",TODAY()-J43),"")</f>
        <v/>
      </c>
      <c r="N43" s="7" t="n"/>
      <c r="O43" s="7" t="n"/>
      <c r="P43" s="7" t="n"/>
      <c r="Q43" s="7" t="n"/>
      <c r="R43" s="7" t="n"/>
    </row>
    <row r="44" ht="30" customHeight="1">
      <c r="A44" s="4" t="inlineStr">
        <is>
          <t>FB-043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4">
        <f>IFERROR(IF(J44="","",TODAY()-J44),"")</f>
        <v/>
      </c>
      <c r="N44" s="7" t="n"/>
      <c r="O44" s="7" t="n"/>
      <c r="P44" s="7" t="n"/>
      <c r="Q44" s="7" t="n"/>
      <c r="R44" s="7" t="n"/>
    </row>
    <row r="45" ht="30" customHeight="1">
      <c r="A45" s="4" t="inlineStr">
        <is>
          <t>FB-044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4">
        <f>IFERROR(IF(J45="","",TODAY()-J45),"")</f>
        <v/>
      </c>
      <c r="N45" s="7" t="n"/>
      <c r="O45" s="7" t="n"/>
      <c r="P45" s="7" t="n"/>
      <c r="Q45" s="7" t="n"/>
      <c r="R45" s="7" t="n"/>
    </row>
    <row r="46" ht="30" customHeight="1">
      <c r="A46" s="4" t="inlineStr">
        <is>
          <t>FB-045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4">
        <f>IFERROR(IF(J46="","",TODAY()-J46),"")</f>
        <v/>
      </c>
      <c r="N46" s="7" t="n"/>
      <c r="O46" s="7" t="n"/>
      <c r="P46" s="7" t="n"/>
      <c r="Q46" s="7" t="n"/>
      <c r="R46" s="7" t="n"/>
    </row>
    <row r="47" ht="30" customHeight="1">
      <c r="A47" s="4" t="inlineStr">
        <is>
          <t>FB-046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4">
        <f>IFERROR(IF(J47="","",TODAY()-J47),"")</f>
        <v/>
      </c>
      <c r="N47" s="7" t="n"/>
      <c r="O47" s="7" t="n"/>
      <c r="P47" s="7" t="n"/>
      <c r="Q47" s="7" t="n"/>
      <c r="R47" s="7" t="n"/>
    </row>
    <row r="48" ht="30" customHeight="1">
      <c r="A48" s="4" t="inlineStr">
        <is>
          <t>FB-047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4">
        <f>IFERROR(IF(J48="","",TODAY()-J48),"")</f>
        <v/>
      </c>
      <c r="N48" s="7" t="n"/>
      <c r="O48" s="7" t="n"/>
      <c r="P48" s="7" t="n"/>
      <c r="Q48" s="7" t="n"/>
      <c r="R48" s="7" t="n"/>
    </row>
    <row r="49" ht="30" customHeight="1">
      <c r="A49" s="4" t="inlineStr">
        <is>
          <t>FB-048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4">
        <f>IFERROR(IF(J49="","",TODAY()-J49),"")</f>
        <v/>
      </c>
      <c r="N49" s="7" t="n"/>
      <c r="O49" s="7" t="n"/>
      <c r="P49" s="7" t="n"/>
      <c r="Q49" s="7" t="n"/>
      <c r="R49" s="7" t="n"/>
    </row>
    <row r="50" ht="30" customHeight="1">
      <c r="A50" s="4" t="inlineStr">
        <is>
          <t>FB-049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4">
        <f>IFERROR(IF(J50="","",TODAY()-J50),"")</f>
        <v/>
      </c>
      <c r="N50" s="7" t="n"/>
      <c r="O50" s="7" t="n"/>
      <c r="P50" s="7" t="n"/>
      <c r="Q50" s="7" t="n"/>
      <c r="R50" s="7" t="n"/>
    </row>
    <row r="51" ht="30" customHeight="1">
      <c r="A51" s="4" t="inlineStr">
        <is>
          <t>FB-050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4">
        <f>IFERROR(IF(J51="","",TODAY()-J51),"")</f>
        <v/>
      </c>
      <c r="N51" s="7" t="n"/>
      <c r="O51" s="7" t="n"/>
      <c r="P51" s="7" t="n"/>
      <c r="Q51" s="7" t="n"/>
      <c r="R51" s="7" t="n"/>
    </row>
    <row r="52" ht="30" customHeight="1">
      <c r="A52" s="4" t="inlineStr">
        <is>
          <t>FB-051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4">
        <f>IFERROR(IF(J52="","",TODAY()-J52),"")</f>
        <v/>
      </c>
      <c r="N52" s="7" t="n"/>
      <c r="O52" s="7" t="n"/>
      <c r="P52" s="7" t="n"/>
      <c r="Q52" s="7" t="n"/>
      <c r="R52" s="7" t="n"/>
    </row>
    <row r="53" ht="30" customHeight="1">
      <c r="A53" s="4" t="inlineStr">
        <is>
          <t>FB-052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4">
        <f>IFERROR(IF(J53="","",TODAY()-J53),"")</f>
        <v/>
      </c>
      <c r="N53" s="7" t="n"/>
      <c r="O53" s="7" t="n"/>
      <c r="P53" s="7" t="n"/>
      <c r="Q53" s="7" t="n"/>
      <c r="R53" s="7" t="n"/>
    </row>
    <row r="54" ht="30" customHeight="1">
      <c r="A54" s="4" t="inlineStr">
        <is>
          <t>FB-053</t>
        </is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4">
        <f>IFERROR(IF(J54="","",TODAY()-J54),"")</f>
        <v/>
      </c>
      <c r="N54" s="7" t="n"/>
      <c r="O54" s="7" t="n"/>
      <c r="P54" s="7" t="n"/>
      <c r="Q54" s="7" t="n"/>
      <c r="R54" s="7" t="n"/>
    </row>
    <row r="55" ht="30" customHeight="1">
      <c r="A55" s="4" t="inlineStr">
        <is>
          <t>FB-054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4">
        <f>IFERROR(IF(J55="","",TODAY()-J55),"")</f>
        <v/>
      </c>
      <c r="N55" s="7" t="n"/>
      <c r="O55" s="7" t="n"/>
      <c r="P55" s="7" t="n"/>
      <c r="Q55" s="7" t="n"/>
      <c r="R55" s="7" t="n"/>
    </row>
    <row r="56" ht="30" customHeight="1">
      <c r="A56" s="4" t="inlineStr">
        <is>
          <t>FB-055</t>
        </is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4">
        <f>IFERROR(IF(J56="","",TODAY()-J56),"")</f>
        <v/>
      </c>
      <c r="N56" s="7" t="n"/>
      <c r="O56" s="7" t="n"/>
      <c r="P56" s="7" t="n"/>
      <c r="Q56" s="7" t="n"/>
      <c r="R56" s="7" t="n"/>
    </row>
    <row r="57" ht="30" customHeight="1">
      <c r="A57" s="4" t="inlineStr">
        <is>
          <t>FB-056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4">
        <f>IFERROR(IF(J57="","",TODAY()-J57),"")</f>
        <v/>
      </c>
      <c r="N57" s="7" t="n"/>
      <c r="O57" s="7" t="n"/>
      <c r="P57" s="7" t="n"/>
      <c r="Q57" s="7" t="n"/>
      <c r="R57" s="7" t="n"/>
    </row>
    <row r="58" ht="30" customHeight="1">
      <c r="A58" s="4" t="inlineStr">
        <is>
          <t>FB-057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4">
        <f>IFERROR(IF(J58="","",TODAY()-J58),"")</f>
        <v/>
      </c>
      <c r="N58" s="7" t="n"/>
      <c r="O58" s="7" t="n"/>
      <c r="P58" s="7" t="n"/>
      <c r="Q58" s="7" t="n"/>
      <c r="R58" s="7" t="n"/>
    </row>
    <row r="59" ht="30" customHeight="1">
      <c r="A59" s="4" t="inlineStr">
        <is>
          <t>FB-058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4">
        <f>IFERROR(IF(J59="","",TODAY()-J59),"")</f>
        <v/>
      </c>
      <c r="N59" s="7" t="n"/>
      <c r="O59" s="7" t="n"/>
      <c r="P59" s="7" t="n"/>
      <c r="Q59" s="7" t="n"/>
      <c r="R59" s="7" t="n"/>
    </row>
    <row r="60" ht="30" customHeight="1">
      <c r="A60" s="4" t="inlineStr">
        <is>
          <t>FB-059</t>
        </is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4">
        <f>IFERROR(IF(J60="","",TODAY()-J60),"")</f>
        <v/>
      </c>
      <c r="N60" s="7" t="n"/>
      <c r="O60" s="7" t="n"/>
      <c r="P60" s="7" t="n"/>
      <c r="Q60" s="7" t="n"/>
      <c r="R60" s="7" t="n"/>
    </row>
    <row r="61" ht="30" customHeight="1">
      <c r="A61" s="4" t="inlineStr">
        <is>
          <t>FB-060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4">
        <f>IFERROR(IF(J61="","",TODAY()-J61),"")</f>
        <v/>
      </c>
      <c r="N61" s="7" t="n"/>
      <c r="O61" s="7" t="n"/>
      <c r="P61" s="7" t="n"/>
      <c r="Q61" s="7" t="n"/>
      <c r="R61" s="7" t="n"/>
    </row>
    <row r="62" ht="30" customHeight="1">
      <c r="A62" s="4" t="inlineStr">
        <is>
          <t>FB-061</t>
        </is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4">
        <f>IFERROR(IF(J62="","",TODAY()-J62),"")</f>
        <v/>
      </c>
      <c r="N62" s="7" t="n"/>
      <c r="O62" s="7" t="n"/>
      <c r="P62" s="7" t="n"/>
      <c r="Q62" s="7" t="n"/>
      <c r="R62" s="7" t="n"/>
    </row>
    <row r="63" ht="30" customHeight="1">
      <c r="A63" s="4" t="inlineStr">
        <is>
          <t>FB-062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4">
        <f>IFERROR(IF(J63="","",TODAY()-J63),"")</f>
        <v/>
      </c>
      <c r="N63" s="7" t="n"/>
      <c r="O63" s="7" t="n"/>
      <c r="P63" s="7" t="n"/>
      <c r="Q63" s="7" t="n"/>
      <c r="R63" s="7" t="n"/>
    </row>
    <row r="64" ht="30" customHeight="1">
      <c r="A64" s="4" t="inlineStr">
        <is>
          <t>FB-063</t>
        </is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4">
        <f>IFERROR(IF(J64="","",TODAY()-J64),"")</f>
        <v/>
      </c>
      <c r="N64" s="7" t="n"/>
      <c r="O64" s="7" t="n"/>
      <c r="P64" s="7" t="n"/>
      <c r="Q64" s="7" t="n"/>
      <c r="R64" s="7" t="n"/>
    </row>
    <row r="65" ht="30" customHeight="1">
      <c r="A65" s="4" t="inlineStr">
        <is>
          <t>FB-064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4">
        <f>IFERROR(IF(J65="","",TODAY()-J65),"")</f>
        <v/>
      </c>
      <c r="N65" s="7" t="n"/>
      <c r="O65" s="7" t="n"/>
      <c r="P65" s="7" t="n"/>
      <c r="Q65" s="7" t="n"/>
      <c r="R65" s="7" t="n"/>
    </row>
    <row r="66" ht="30" customHeight="1">
      <c r="A66" s="4" t="inlineStr">
        <is>
          <t>FB-065</t>
        </is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4">
        <f>IFERROR(IF(J66="","",TODAY()-J66),"")</f>
        <v/>
      </c>
      <c r="N66" s="7" t="n"/>
      <c r="O66" s="7" t="n"/>
      <c r="P66" s="7" t="n"/>
      <c r="Q66" s="7" t="n"/>
      <c r="R66" s="7" t="n"/>
    </row>
    <row r="67" ht="30" customHeight="1">
      <c r="A67" s="4" t="inlineStr">
        <is>
          <t>FB-066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4">
        <f>IFERROR(IF(J67="","",TODAY()-J67),"")</f>
        <v/>
      </c>
      <c r="N67" s="7" t="n"/>
      <c r="O67" s="7" t="n"/>
      <c r="P67" s="7" t="n"/>
      <c r="Q67" s="7" t="n"/>
      <c r="R67" s="7" t="n"/>
    </row>
    <row r="68" ht="30" customHeight="1">
      <c r="A68" s="4" t="inlineStr">
        <is>
          <t>FB-067</t>
        </is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4">
        <f>IFERROR(IF(J68="","",TODAY()-J68),"")</f>
        <v/>
      </c>
      <c r="N68" s="7" t="n"/>
      <c r="O68" s="7" t="n"/>
      <c r="P68" s="7" t="n"/>
      <c r="Q68" s="7" t="n"/>
      <c r="R68" s="7" t="n"/>
    </row>
    <row r="69" ht="30" customHeight="1">
      <c r="A69" s="4" t="inlineStr">
        <is>
          <t>FB-068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4">
        <f>IFERROR(IF(J69="","",TODAY()-J69),"")</f>
        <v/>
      </c>
      <c r="N69" s="7" t="n"/>
      <c r="O69" s="7" t="n"/>
      <c r="P69" s="7" t="n"/>
      <c r="Q69" s="7" t="n"/>
      <c r="R69" s="7" t="n"/>
    </row>
    <row r="70" ht="30" customHeight="1">
      <c r="A70" s="4" t="inlineStr">
        <is>
          <t>FB-069</t>
        </is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4">
        <f>IFERROR(IF(J70="","",TODAY()-J70),"")</f>
        <v/>
      </c>
      <c r="N70" s="7" t="n"/>
      <c r="O70" s="7" t="n"/>
      <c r="P70" s="7" t="n"/>
      <c r="Q70" s="7" t="n"/>
      <c r="R70" s="7" t="n"/>
    </row>
    <row r="71" ht="30" customHeight="1">
      <c r="A71" s="4" t="inlineStr">
        <is>
          <t>FB-070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4">
        <f>IFERROR(IF(J71="","",TODAY()-J71),"")</f>
        <v/>
      </c>
      <c r="N71" s="7" t="n"/>
      <c r="O71" s="7" t="n"/>
      <c r="P71" s="7" t="n"/>
      <c r="Q71" s="7" t="n"/>
      <c r="R71" s="7" t="n"/>
    </row>
    <row r="72" ht="30" customHeight="1">
      <c r="A72" s="4" t="inlineStr">
        <is>
          <t>FB-071</t>
        </is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4">
        <f>IFERROR(IF(J72="","",TODAY()-J72),"")</f>
        <v/>
      </c>
      <c r="N72" s="7" t="n"/>
      <c r="O72" s="7" t="n"/>
      <c r="P72" s="7" t="n"/>
      <c r="Q72" s="7" t="n"/>
      <c r="R72" s="7" t="n"/>
    </row>
    <row r="73" ht="30" customHeight="1">
      <c r="A73" s="4" t="inlineStr">
        <is>
          <t>FB-072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4">
        <f>IFERROR(IF(J73="","",TODAY()-J73),"")</f>
        <v/>
      </c>
      <c r="N73" s="7" t="n"/>
      <c r="O73" s="7" t="n"/>
      <c r="P73" s="7" t="n"/>
      <c r="Q73" s="7" t="n"/>
      <c r="R73" s="7" t="n"/>
    </row>
    <row r="74" ht="30" customHeight="1">
      <c r="A74" s="4" t="inlineStr">
        <is>
          <t>FB-073</t>
        </is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4">
        <f>IFERROR(IF(J74="","",TODAY()-J74),"")</f>
        <v/>
      </c>
      <c r="N74" s="7" t="n"/>
      <c r="O74" s="7" t="n"/>
      <c r="P74" s="7" t="n"/>
      <c r="Q74" s="7" t="n"/>
      <c r="R74" s="7" t="n"/>
    </row>
    <row r="75" ht="30" customHeight="1">
      <c r="A75" s="4" t="inlineStr">
        <is>
          <t>FB-074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4">
        <f>IFERROR(IF(J75="","",TODAY()-J75),"")</f>
        <v/>
      </c>
      <c r="N75" s="7" t="n"/>
      <c r="O75" s="7" t="n"/>
      <c r="P75" s="7" t="n"/>
      <c r="Q75" s="7" t="n"/>
      <c r="R75" s="7" t="n"/>
    </row>
    <row r="76" ht="30" customHeight="1">
      <c r="A76" s="4" t="inlineStr">
        <is>
          <t>FB-075</t>
        </is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4">
        <f>IFERROR(IF(J76="","",TODAY()-J76),"")</f>
        <v/>
      </c>
      <c r="N76" s="7" t="n"/>
      <c r="O76" s="7" t="n"/>
      <c r="P76" s="7" t="n"/>
      <c r="Q76" s="7" t="n"/>
      <c r="R76" s="7" t="n"/>
    </row>
    <row r="77" ht="30" customHeight="1">
      <c r="A77" s="4" t="inlineStr">
        <is>
          <t>FB-076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4">
        <f>IFERROR(IF(J77="","",TODAY()-J77),"")</f>
        <v/>
      </c>
      <c r="N77" s="7" t="n"/>
      <c r="O77" s="7" t="n"/>
      <c r="P77" s="7" t="n"/>
      <c r="Q77" s="7" t="n"/>
      <c r="R77" s="7" t="n"/>
    </row>
    <row r="78" ht="30" customHeight="1">
      <c r="A78" s="4" t="inlineStr">
        <is>
          <t>FB-077</t>
        </is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4">
        <f>IFERROR(IF(J78="","",TODAY()-J78),"")</f>
        <v/>
      </c>
      <c r="N78" s="7" t="n"/>
      <c r="O78" s="7" t="n"/>
      <c r="P78" s="7" t="n"/>
      <c r="Q78" s="7" t="n"/>
      <c r="R78" s="7" t="n"/>
    </row>
    <row r="79" ht="30" customHeight="1">
      <c r="A79" s="4" t="inlineStr">
        <is>
          <t>FB-078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4">
        <f>IFERROR(IF(J79="","",TODAY()-J79),"")</f>
        <v/>
      </c>
      <c r="N79" s="7" t="n"/>
      <c r="O79" s="7" t="n"/>
      <c r="P79" s="7" t="n"/>
      <c r="Q79" s="7" t="n"/>
      <c r="R79" s="7" t="n"/>
    </row>
    <row r="80" ht="30" customHeight="1">
      <c r="A80" s="4" t="inlineStr">
        <is>
          <t>FB-079</t>
        </is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4">
        <f>IFERROR(IF(J80="","",TODAY()-J80),"")</f>
        <v/>
      </c>
      <c r="N80" s="7" t="n"/>
      <c r="O80" s="7" t="n"/>
      <c r="P80" s="7" t="n"/>
      <c r="Q80" s="7" t="n"/>
      <c r="R80" s="7" t="n"/>
    </row>
    <row r="81" ht="30" customHeight="1">
      <c r="A81" s="4" t="inlineStr">
        <is>
          <t>FB-080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4">
        <f>IFERROR(IF(J81="","",TODAY()-J81),"")</f>
        <v/>
      </c>
      <c r="N81" s="7" t="n"/>
      <c r="O81" s="7" t="n"/>
      <c r="P81" s="7" t="n"/>
      <c r="Q81" s="7" t="n"/>
      <c r="R81" s="7" t="n"/>
    </row>
    <row r="82" ht="30" customHeight="1">
      <c r="A82" s="4" t="inlineStr">
        <is>
          <t>FB-081</t>
        </is>
      </c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4">
        <f>IFERROR(IF(J82="","",TODAY()-J82),"")</f>
        <v/>
      </c>
      <c r="N82" s="7" t="n"/>
      <c r="O82" s="7" t="n"/>
      <c r="P82" s="7" t="n"/>
      <c r="Q82" s="7" t="n"/>
      <c r="R82" s="7" t="n"/>
    </row>
    <row r="83" ht="30" customHeight="1">
      <c r="A83" s="4" t="inlineStr">
        <is>
          <t>FB-082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4">
        <f>IFERROR(IF(J83="","",TODAY()-J83),"")</f>
        <v/>
      </c>
      <c r="N83" s="7" t="n"/>
      <c r="O83" s="7" t="n"/>
      <c r="P83" s="7" t="n"/>
      <c r="Q83" s="7" t="n"/>
      <c r="R83" s="7" t="n"/>
    </row>
    <row r="84" ht="30" customHeight="1">
      <c r="A84" s="4" t="inlineStr">
        <is>
          <t>FB-083</t>
        </is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4">
        <f>IFERROR(IF(J84="","",TODAY()-J84),"")</f>
        <v/>
      </c>
      <c r="N84" s="7" t="n"/>
      <c r="O84" s="7" t="n"/>
      <c r="P84" s="7" t="n"/>
      <c r="Q84" s="7" t="n"/>
      <c r="R84" s="7" t="n"/>
    </row>
    <row r="85" ht="30" customHeight="1">
      <c r="A85" s="4" t="inlineStr">
        <is>
          <t>FB-084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4">
        <f>IFERROR(IF(J85="","",TODAY()-J85),"")</f>
        <v/>
      </c>
      <c r="N85" s="7" t="n"/>
      <c r="O85" s="7" t="n"/>
      <c r="P85" s="7" t="n"/>
      <c r="Q85" s="7" t="n"/>
      <c r="R85" s="7" t="n"/>
    </row>
    <row r="86" ht="30" customHeight="1">
      <c r="A86" s="4" t="inlineStr">
        <is>
          <t>FB-085</t>
        </is>
      </c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4">
        <f>IFERROR(IF(J86="","",TODAY()-J86),"")</f>
        <v/>
      </c>
      <c r="N86" s="7" t="n"/>
      <c r="O86" s="7" t="n"/>
      <c r="P86" s="7" t="n"/>
      <c r="Q86" s="7" t="n"/>
      <c r="R86" s="7" t="n"/>
    </row>
    <row r="87" ht="30" customHeight="1">
      <c r="A87" s="4" t="inlineStr">
        <is>
          <t>FB-086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4">
        <f>IFERROR(IF(J87="","",TODAY()-J87),"")</f>
        <v/>
      </c>
      <c r="N87" s="7" t="n"/>
      <c r="O87" s="7" t="n"/>
      <c r="P87" s="7" t="n"/>
      <c r="Q87" s="7" t="n"/>
      <c r="R87" s="7" t="n"/>
    </row>
    <row r="88" ht="30" customHeight="1">
      <c r="A88" s="4" t="inlineStr">
        <is>
          <t>FB-087</t>
        </is>
      </c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4">
        <f>IFERROR(IF(J88="","",TODAY()-J88),"")</f>
        <v/>
      </c>
      <c r="N88" s="7" t="n"/>
      <c r="O88" s="7" t="n"/>
      <c r="P88" s="7" t="n"/>
      <c r="Q88" s="7" t="n"/>
      <c r="R88" s="7" t="n"/>
    </row>
    <row r="89" ht="30" customHeight="1">
      <c r="A89" s="4" t="inlineStr">
        <is>
          <t>FB-088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4">
        <f>IFERROR(IF(J89="","",TODAY()-J89),"")</f>
        <v/>
      </c>
      <c r="N89" s="7" t="n"/>
      <c r="O89" s="7" t="n"/>
      <c r="P89" s="7" t="n"/>
      <c r="Q89" s="7" t="n"/>
      <c r="R89" s="7" t="n"/>
    </row>
    <row r="90" ht="30" customHeight="1">
      <c r="A90" s="4" t="inlineStr">
        <is>
          <t>FB-089</t>
        </is>
      </c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4">
        <f>IFERROR(IF(J90="","",TODAY()-J90),"")</f>
        <v/>
      </c>
      <c r="N90" s="7" t="n"/>
      <c r="O90" s="7" t="n"/>
      <c r="P90" s="7" t="n"/>
      <c r="Q90" s="7" t="n"/>
      <c r="R90" s="7" t="n"/>
    </row>
    <row r="91" ht="30" customHeight="1">
      <c r="A91" s="4" t="inlineStr">
        <is>
          <t>FB-090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4">
        <f>IFERROR(IF(J91="","",TODAY()-J91),"")</f>
        <v/>
      </c>
      <c r="N91" s="7" t="n"/>
      <c r="O91" s="7" t="n"/>
      <c r="P91" s="7" t="n"/>
      <c r="Q91" s="7" t="n"/>
      <c r="R91" s="7" t="n"/>
    </row>
    <row r="92" ht="30" customHeight="1">
      <c r="A92" s="4" t="inlineStr">
        <is>
          <t>FB-091</t>
        </is>
      </c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4">
        <f>IFERROR(IF(J92="","",TODAY()-J92),"")</f>
        <v/>
      </c>
      <c r="N92" s="7" t="n"/>
      <c r="O92" s="7" t="n"/>
      <c r="P92" s="7" t="n"/>
      <c r="Q92" s="7" t="n"/>
      <c r="R92" s="7" t="n"/>
    </row>
    <row r="93" ht="30" customHeight="1">
      <c r="A93" s="4" t="inlineStr">
        <is>
          <t>FB-092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4">
        <f>IFERROR(IF(J93="","",TODAY()-J93),"")</f>
        <v/>
      </c>
      <c r="N93" s="7" t="n"/>
      <c r="O93" s="7" t="n"/>
      <c r="P93" s="7" t="n"/>
      <c r="Q93" s="7" t="n"/>
      <c r="R93" s="7" t="n"/>
    </row>
    <row r="94" ht="30" customHeight="1">
      <c r="A94" s="4" t="inlineStr">
        <is>
          <t>FB-093</t>
        </is>
      </c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4">
        <f>IFERROR(IF(J94="","",TODAY()-J94),"")</f>
        <v/>
      </c>
      <c r="N94" s="7" t="n"/>
      <c r="O94" s="7" t="n"/>
      <c r="P94" s="7" t="n"/>
      <c r="Q94" s="7" t="n"/>
      <c r="R94" s="7" t="n"/>
    </row>
    <row r="95" ht="30" customHeight="1">
      <c r="A95" s="4" t="inlineStr">
        <is>
          <t>FB-094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4">
        <f>IFERROR(IF(J95="","",TODAY()-J95),"")</f>
        <v/>
      </c>
      <c r="N95" s="7" t="n"/>
      <c r="O95" s="7" t="n"/>
      <c r="P95" s="7" t="n"/>
      <c r="Q95" s="7" t="n"/>
      <c r="R95" s="7" t="n"/>
    </row>
    <row r="96" ht="30" customHeight="1">
      <c r="A96" s="4" t="inlineStr">
        <is>
          <t>FB-095</t>
        </is>
      </c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4">
        <f>IFERROR(IF(J96="","",TODAY()-J96),"")</f>
        <v/>
      </c>
      <c r="N96" s="7" t="n"/>
      <c r="O96" s="7" t="n"/>
      <c r="P96" s="7" t="n"/>
      <c r="Q96" s="7" t="n"/>
      <c r="R96" s="7" t="n"/>
    </row>
    <row r="97" ht="30" customHeight="1">
      <c r="A97" s="4" t="inlineStr">
        <is>
          <t>FB-096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4">
        <f>IFERROR(IF(J97="","",TODAY()-J97),"")</f>
        <v/>
      </c>
      <c r="N97" s="7" t="n"/>
      <c r="O97" s="7" t="n"/>
      <c r="P97" s="7" t="n"/>
      <c r="Q97" s="7" t="n"/>
      <c r="R97" s="7" t="n"/>
    </row>
    <row r="98" ht="30" customHeight="1">
      <c r="A98" s="4" t="inlineStr">
        <is>
          <t>FB-097</t>
        </is>
      </c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4">
        <f>IFERROR(IF(J98="","",TODAY()-J98),"")</f>
        <v/>
      </c>
      <c r="N98" s="7" t="n"/>
      <c r="O98" s="7" t="n"/>
      <c r="P98" s="7" t="n"/>
      <c r="Q98" s="7" t="n"/>
      <c r="R98" s="7" t="n"/>
    </row>
    <row r="99" ht="30" customHeight="1">
      <c r="A99" s="4" t="inlineStr">
        <is>
          <t>FB-098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4">
        <f>IFERROR(IF(J99="","",TODAY()-J99),"")</f>
        <v/>
      </c>
      <c r="N99" s="7" t="n"/>
      <c r="O99" s="7" t="n"/>
      <c r="P99" s="7" t="n"/>
      <c r="Q99" s="7" t="n"/>
      <c r="R99" s="7" t="n"/>
    </row>
    <row r="100" ht="30" customHeight="1">
      <c r="A100" s="4" t="inlineStr">
        <is>
          <t>FB-099</t>
        </is>
      </c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4">
        <f>IFERROR(IF(J100="","",TODAY()-J100),"")</f>
        <v/>
      </c>
      <c r="N100" s="7" t="n"/>
      <c r="O100" s="7" t="n"/>
      <c r="P100" s="7" t="n"/>
      <c r="Q100" s="7" t="n"/>
      <c r="R100" s="7" t="n"/>
    </row>
    <row r="101" ht="30" customHeight="1">
      <c r="A101" s="4" t="inlineStr">
        <is>
          <t>FB-100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4">
        <f>IFERROR(IF(J101="","",TODAY()-J101),"")</f>
        <v/>
      </c>
      <c r="N101" s="7" t="n"/>
      <c r="O101" s="7" t="n"/>
      <c r="P101" s="7" t="n"/>
      <c r="Q101" s="7" t="n"/>
      <c r="R101" s="7" t="n"/>
    </row>
  </sheetData>
  <conditionalFormatting sqref="G2:G101">
    <cfRule type="cellIs" priority="1" operator="equal" dxfId="0">
      <formula>"Critical"</formula>
    </cfRule>
    <cfRule type="cellIs" priority="2" operator="equal" dxfId="1">
      <formula>"Major"</formula>
    </cfRule>
    <cfRule type="cellIs" priority="3" operator="equal" dxfId="2">
      <formula>"Minor"</formula>
    </cfRule>
    <cfRule type="cellIs" priority="4" operator="equal" dxfId="3">
      <formula>"개선"</formula>
    </cfRule>
  </conditionalFormatting>
  <conditionalFormatting sqref="K2:K101">
    <cfRule type="cellIs" priority="5" operator="equal" dxfId="3">
      <formula>"종료"</formula>
    </cfRule>
    <cfRule type="cellIs" priority="6" operator="equal" dxfId="1">
      <formula>"신규"</formula>
    </cfRule>
  </conditionalFormatting>
  <dataValidations count="6">
    <dataValidation sqref="B2:B101" showDropDown="0" showInputMessage="0" showErrorMessage="0" allowBlank="1" type="list">
      <formula1>"인사관리,출퇴근,휴가관리,휴직,급여,결재·승인,마스터데이터·설정,성과,채용,보상,인사이트·분석,온보딩·오프보딩,규정준수,My Space,V2 홈,알림,엣지케이스,기타"</formula1>
    </dataValidation>
    <dataValidation sqref="G2:G101" showDropDown="0" showInputMessage="0" showErrorMessage="0" allowBlank="1" type="list">
      <formula1>"Critical,Major,Minor,개선"</formula1>
    </dataValidation>
    <dataValidation sqref="K2:K101" showDropDown="0" showInputMessage="0" showErrorMessage="0" allowBlank="1" type="list">
      <formula1>"신규,확인중,수정중,수정완료,재테스트,종료,보류"</formula1>
    </dataValidation>
    <dataValidation sqref="L2:L101" showDropDown="0" showInputMessage="0" showErrorMessage="0" allowBlank="1" type="list">
      <formula1>"Pass,Fail,재테스트 대기"</formula1>
    </dataValidation>
    <dataValidation sqref="O2:O101" showDropDown="0" showInputMessage="0" showErrorMessage="0" allowBlank="1" type="list">
      <formula1>"수용,보류,미정"</formula1>
    </dataValidation>
    <dataValidation sqref="P2:P101" showDropDown="0" showInputMessage="0" showErrorMessage="0" allowBlank="1" type="list">
      <formula1>"차단,비차단,미정"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6" customWidth="1" min="8" max="8"/>
    <col width="14" customWidth="1" min="9" max="9"/>
  </cols>
  <sheetData>
    <row r="1" ht="30" customHeight="1">
      <c r="A1" s="6" t="inlineStr">
        <is>
          <t>Day</t>
        </is>
      </c>
      <c r="B1" s="6" t="inlineStr">
        <is>
          <t>날짜</t>
        </is>
      </c>
      <c r="C1" s="6" t="inlineStr">
        <is>
          <t>신규 발견</t>
        </is>
      </c>
      <c r="D1" s="6" t="inlineStr">
        <is>
          <t>미해결 누적</t>
        </is>
      </c>
      <c r="E1" s="6" t="inlineStr">
        <is>
          <t>수정완료</t>
        </is>
      </c>
      <c r="F1" s="6" t="inlineStr">
        <is>
          <t>재테스트</t>
        </is>
      </c>
      <c r="G1" s="6" t="inlineStr">
        <is>
          <t>보류</t>
        </is>
      </c>
      <c r="H1" s="6" t="inlineStr">
        <is>
          <t>Critical 미해결</t>
        </is>
      </c>
      <c r="I1" s="6" t="inlineStr">
        <is>
          <t>Major 미해결</t>
        </is>
      </c>
    </row>
    <row r="2">
      <c r="A2" s="4" t="inlineStr">
        <is>
          <t>Day 1</t>
        </is>
      </c>
      <c r="B2" s="4" t="inlineStr">
        <is>
          <t>2026-05-19</t>
        </is>
      </c>
      <c r="C2" s="4">
        <f>COUNTIFS('피드백 로그'!J:J,"="&amp;DATE(2026,5,19))</f>
        <v/>
      </c>
      <c r="D2" s="4">
        <f>COUNTIFS('피드백 로그'!J:J,"&lt;="&amp;DATE(2026,5,19),'피드백 로그'!K:K,"&lt;&gt;종료")</f>
        <v/>
      </c>
      <c r="E2" s="4">
        <f>COUNTIFS('피드백 로그'!Q:Q,"="&amp;DATE(2026,5,19))</f>
        <v/>
      </c>
      <c r="F2" s="4">
        <f>COUNTIFS('피드백 로그'!L:L,"재테스트 대기",'피드백 로그'!J:J,"&lt;="&amp;DATE(2026,5,19))</f>
        <v/>
      </c>
      <c r="G2" s="4">
        <f>COUNTIFS('피드백 로그'!K:K,"보류",'피드백 로그'!J:J,"&lt;="&amp;DATE(2026,5,19))</f>
        <v/>
      </c>
      <c r="H2" s="4">
        <f>COUNTIFS('피드백 로그'!G:G,"Critical",'피드백 로그'!K:K,"&lt;&gt;종료",'피드백 로그'!J:J,"&lt;="&amp;DATE(2026,5,19))</f>
        <v/>
      </c>
      <c r="I2" s="4">
        <f>COUNTIFS('피드백 로그'!G:G,"Major",'피드백 로그'!K:K,"&lt;&gt;종료",'피드백 로그'!J:J,"&lt;="&amp;DATE(2026,5,19))</f>
        <v/>
      </c>
    </row>
    <row r="3">
      <c r="A3" s="4" t="inlineStr">
        <is>
          <t>Day 2</t>
        </is>
      </c>
      <c r="B3" s="4" t="inlineStr">
        <is>
          <t>2026-05-20</t>
        </is>
      </c>
      <c r="C3" s="4">
        <f>COUNTIFS('피드백 로그'!J:J,"="&amp;DATE(2026,5,20))</f>
        <v/>
      </c>
      <c r="D3" s="4">
        <f>COUNTIFS('피드백 로그'!J:J,"&lt;="&amp;DATE(2026,5,20),'피드백 로그'!K:K,"&lt;&gt;종료")</f>
        <v/>
      </c>
      <c r="E3" s="4">
        <f>COUNTIFS('피드백 로그'!Q:Q,"="&amp;DATE(2026,5,20))</f>
        <v/>
      </c>
      <c r="F3" s="4">
        <f>COUNTIFS('피드백 로그'!L:L,"재테스트 대기",'피드백 로그'!J:J,"&lt;="&amp;DATE(2026,5,20))</f>
        <v/>
      </c>
      <c r="G3" s="4">
        <f>COUNTIFS('피드백 로그'!K:K,"보류",'피드백 로그'!J:J,"&lt;="&amp;DATE(2026,5,20))</f>
        <v/>
      </c>
      <c r="H3" s="4">
        <f>COUNTIFS('피드백 로그'!G:G,"Critical",'피드백 로그'!K:K,"&lt;&gt;종료",'피드백 로그'!J:J,"&lt;="&amp;DATE(2026,5,20))</f>
        <v/>
      </c>
      <c r="I3" s="4">
        <f>COUNTIFS('피드백 로그'!G:G,"Major",'피드백 로그'!K:K,"&lt;&gt;종료",'피드백 로그'!J:J,"&lt;="&amp;DATE(2026,5,20))</f>
        <v/>
      </c>
    </row>
    <row r="4">
      <c r="A4" s="4" t="inlineStr">
        <is>
          <t>Day 3</t>
        </is>
      </c>
      <c r="B4" s="4" t="inlineStr">
        <is>
          <t>2026-05-21</t>
        </is>
      </c>
      <c r="C4" s="4">
        <f>COUNTIFS('피드백 로그'!J:J,"="&amp;DATE(2026,5,21))</f>
        <v/>
      </c>
      <c r="D4" s="4">
        <f>COUNTIFS('피드백 로그'!J:J,"&lt;="&amp;DATE(2026,5,21),'피드백 로그'!K:K,"&lt;&gt;종료")</f>
        <v/>
      </c>
      <c r="E4" s="4">
        <f>COUNTIFS('피드백 로그'!Q:Q,"="&amp;DATE(2026,5,21))</f>
        <v/>
      </c>
      <c r="F4" s="4">
        <f>COUNTIFS('피드백 로그'!L:L,"재테스트 대기",'피드백 로그'!J:J,"&lt;="&amp;DATE(2026,5,21))</f>
        <v/>
      </c>
      <c r="G4" s="4">
        <f>COUNTIFS('피드백 로그'!K:K,"보류",'피드백 로그'!J:J,"&lt;="&amp;DATE(2026,5,21))</f>
        <v/>
      </c>
      <c r="H4" s="4">
        <f>COUNTIFS('피드백 로그'!G:G,"Critical",'피드백 로그'!K:K,"&lt;&gt;종료",'피드백 로그'!J:J,"&lt;="&amp;DATE(2026,5,21))</f>
        <v/>
      </c>
      <c r="I4" s="4">
        <f>COUNTIFS('피드백 로그'!G:G,"Major",'피드백 로그'!K:K,"&lt;&gt;종료",'피드백 로그'!J:J,"&lt;="&amp;DATE(2026,5,21))</f>
        <v/>
      </c>
    </row>
    <row r="5">
      <c r="A5" s="4" t="inlineStr">
        <is>
          <t>Day 4</t>
        </is>
      </c>
      <c r="B5" s="4" t="inlineStr">
        <is>
          <t>2026-05-22</t>
        </is>
      </c>
      <c r="C5" s="4">
        <f>COUNTIFS('피드백 로그'!J:J,"="&amp;DATE(2026,5,22))</f>
        <v/>
      </c>
      <c r="D5" s="4">
        <f>COUNTIFS('피드백 로그'!J:J,"&lt;="&amp;DATE(2026,5,22),'피드백 로그'!K:K,"&lt;&gt;종료")</f>
        <v/>
      </c>
      <c r="E5" s="4">
        <f>COUNTIFS('피드백 로그'!Q:Q,"="&amp;DATE(2026,5,22))</f>
        <v/>
      </c>
      <c r="F5" s="4">
        <f>COUNTIFS('피드백 로그'!L:L,"재테스트 대기",'피드백 로그'!J:J,"&lt;="&amp;DATE(2026,5,22))</f>
        <v/>
      </c>
      <c r="G5" s="4">
        <f>COUNTIFS('피드백 로그'!K:K,"보류",'피드백 로그'!J:J,"&lt;="&amp;DATE(2026,5,22))</f>
        <v/>
      </c>
      <c r="H5" s="4">
        <f>COUNTIFS('피드백 로그'!G:G,"Critical",'피드백 로그'!K:K,"&lt;&gt;종료",'피드백 로그'!J:J,"&lt;="&amp;DATE(2026,5,22))</f>
        <v/>
      </c>
      <c r="I5" s="4">
        <f>COUNTIFS('피드백 로그'!G:G,"Major",'피드백 로그'!K:K,"&lt;&gt;종료",'피드백 로그'!J:J,"&lt;="&amp;DATE(2026,5,22))</f>
        <v/>
      </c>
    </row>
    <row r="6">
      <c r="A6" s="4" t="inlineStr">
        <is>
          <t>Day 5</t>
        </is>
      </c>
      <c r="B6" s="4" t="inlineStr">
        <is>
          <t>2026-05-23</t>
        </is>
      </c>
      <c r="C6" s="4">
        <f>COUNTIFS('피드백 로그'!J:J,"="&amp;DATE(2026,5,23))</f>
        <v/>
      </c>
      <c r="D6" s="4">
        <f>COUNTIFS('피드백 로그'!J:J,"&lt;="&amp;DATE(2026,5,23),'피드백 로그'!K:K,"&lt;&gt;종료")</f>
        <v/>
      </c>
      <c r="E6" s="4">
        <f>COUNTIFS('피드백 로그'!Q:Q,"="&amp;DATE(2026,5,23))</f>
        <v/>
      </c>
      <c r="F6" s="4">
        <f>COUNTIFS('피드백 로그'!L:L,"재테스트 대기",'피드백 로그'!J:J,"&lt;="&amp;DATE(2026,5,23))</f>
        <v/>
      </c>
      <c r="G6" s="4">
        <f>COUNTIFS('피드백 로그'!K:K,"보류",'피드백 로그'!J:J,"&lt;="&amp;DATE(2026,5,23))</f>
        <v/>
      </c>
      <c r="H6" s="4">
        <f>COUNTIFS('피드백 로그'!G:G,"Critical",'피드백 로그'!K:K,"&lt;&gt;종료",'피드백 로그'!J:J,"&lt;="&amp;DATE(2026,5,23))</f>
        <v/>
      </c>
      <c r="I6" s="4">
        <f>COUNTIFS('피드백 로그'!G:G,"Major",'피드백 로그'!K:K,"&lt;&gt;종료",'피드백 로그'!J:J,"&lt;="&amp;DATE(2026,5,23))</f>
        <v/>
      </c>
    </row>
    <row r="7">
      <c r="A7" s="4" t="inlineStr">
        <is>
          <t>Day 6</t>
        </is>
      </c>
      <c r="B7" s="4" t="inlineStr">
        <is>
          <t>2026-05-24</t>
        </is>
      </c>
      <c r="C7" s="4">
        <f>COUNTIFS('피드백 로그'!J:J,"="&amp;DATE(2026,5,24))</f>
        <v/>
      </c>
      <c r="D7" s="4">
        <f>COUNTIFS('피드백 로그'!J:J,"&lt;="&amp;DATE(2026,5,24),'피드백 로그'!K:K,"&lt;&gt;종료")</f>
        <v/>
      </c>
      <c r="E7" s="4">
        <f>COUNTIFS('피드백 로그'!Q:Q,"="&amp;DATE(2026,5,24))</f>
        <v/>
      </c>
      <c r="F7" s="4">
        <f>COUNTIFS('피드백 로그'!L:L,"재테스트 대기",'피드백 로그'!J:J,"&lt;="&amp;DATE(2026,5,24))</f>
        <v/>
      </c>
      <c r="G7" s="4">
        <f>COUNTIFS('피드백 로그'!K:K,"보류",'피드백 로그'!J:J,"&lt;="&amp;DATE(2026,5,24))</f>
        <v/>
      </c>
      <c r="H7" s="4">
        <f>COUNTIFS('피드백 로그'!G:G,"Critical",'피드백 로그'!K:K,"&lt;&gt;종료",'피드백 로그'!J:J,"&lt;="&amp;DATE(2026,5,24))</f>
        <v/>
      </c>
      <c r="I7" s="4">
        <f>COUNTIFS('피드백 로그'!G:G,"Major",'피드백 로그'!K:K,"&lt;&gt;종료",'피드백 로그'!J:J,"&lt;="&amp;DATE(2026,5,24))</f>
        <v/>
      </c>
    </row>
    <row r="8">
      <c r="A8" s="4" t="inlineStr">
        <is>
          <t>Day 7</t>
        </is>
      </c>
      <c r="B8" s="4" t="inlineStr">
        <is>
          <t>2026-05-25</t>
        </is>
      </c>
      <c r="C8" s="4">
        <f>COUNTIFS('피드백 로그'!J:J,"="&amp;DATE(2026,5,25))</f>
        <v/>
      </c>
      <c r="D8" s="4">
        <f>COUNTIFS('피드백 로그'!J:J,"&lt;="&amp;DATE(2026,5,25),'피드백 로그'!K:K,"&lt;&gt;종료")</f>
        <v/>
      </c>
      <c r="E8" s="4">
        <f>COUNTIFS('피드백 로그'!Q:Q,"="&amp;DATE(2026,5,25))</f>
        <v/>
      </c>
      <c r="F8" s="4">
        <f>COUNTIFS('피드백 로그'!L:L,"재테스트 대기",'피드백 로그'!J:J,"&lt;="&amp;DATE(2026,5,25))</f>
        <v/>
      </c>
      <c r="G8" s="4">
        <f>COUNTIFS('피드백 로그'!K:K,"보류",'피드백 로그'!J:J,"&lt;="&amp;DATE(2026,5,25))</f>
        <v/>
      </c>
      <c r="H8" s="4">
        <f>COUNTIFS('피드백 로그'!G:G,"Critical",'피드백 로그'!K:K,"&lt;&gt;종료",'피드백 로그'!J:J,"&lt;="&amp;DATE(2026,5,25))</f>
        <v/>
      </c>
      <c r="I8" s="4">
        <f>COUNTIFS('피드백 로그'!G:G,"Major",'피드백 로그'!K:K,"&lt;&gt;종료",'피드백 로그'!J:J,"&lt;="&amp;DATE(2026,5,25))</f>
        <v/>
      </c>
    </row>
    <row r="9">
      <c r="A9" s="4" t="inlineStr">
        <is>
          <t>Day 8</t>
        </is>
      </c>
      <c r="B9" s="4" t="inlineStr">
        <is>
          <t>2026-05-26</t>
        </is>
      </c>
      <c r="C9" s="4">
        <f>COUNTIFS('피드백 로그'!J:J,"="&amp;DATE(2026,5,26))</f>
        <v/>
      </c>
      <c r="D9" s="4">
        <f>COUNTIFS('피드백 로그'!J:J,"&lt;="&amp;DATE(2026,5,26),'피드백 로그'!K:K,"&lt;&gt;종료")</f>
        <v/>
      </c>
      <c r="E9" s="4">
        <f>COUNTIFS('피드백 로그'!Q:Q,"="&amp;DATE(2026,5,26))</f>
        <v/>
      </c>
      <c r="F9" s="4">
        <f>COUNTIFS('피드백 로그'!L:L,"재테스트 대기",'피드백 로그'!J:J,"&lt;="&amp;DATE(2026,5,26))</f>
        <v/>
      </c>
      <c r="G9" s="4">
        <f>COUNTIFS('피드백 로그'!K:K,"보류",'피드백 로그'!J:J,"&lt;="&amp;DATE(2026,5,26))</f>
        <v/>
      </c>
      <c r="H9" s="4">
        <f>COUNTIFS('피드백 로그'!G:G,"Critical",'피드백 로그'!K:K,"&lt;&gt;종료",'피드백 로그'!J:J,"&lt;="&amp;DATE(2026,5,26))</f>
        <v/>
      </c>
      <c r="I9" s="4">
        <f>COUNTIFS('피드백 로그'!G:G,"Major",'피드백 로그'!K:K,"&lt;&gt;종료",'피드백 로그'!J:J,"&lt;="&amp;DATE(2026,5,26))</f>
        <v/>
      </c>
    </row>
    <row r="10">
      <c r="A10" s="4" t="inlineStr">
        <is>
          <t>Day 9</t>
        </is>
      </c>
      <c r="B10" s="4" t="inlineStr">
        <is>
          <t>2026-05-27</t>
        </is>
      </c>
      <c r="C10" s="4">
        <f>COUNTIFS('피드백 로그'!J:J,"="&amp;DATE(2026,5,27))</f>
        <v/>
      </c>
      <c r="D10" s="4">
        <f>COUNTIFS('피드백 로그'!J:J,"&lt;="&amp;DATE(2026,5,27),'피드백 로그'!K:K,"&lt;&gt;종료")</f>
        <v/>
      </c>
      <c r="E10" s="4">
        <f>COUNTIFS('피드백 로그'!Q:Q,"="&amp;DATE(2026,5,27))</f>
        <v/>
      </c>
      <c r="F10" s="4">
        <f>COUNTIFS('피드백 로그'!L:L,"재테스트 대기",'피드백 로그'!J:J,"&lt;="&amp;DATE(2026,5,27))</f>
        <v/>
      </c>
      <c r="G10" s="4">
        <f>COUNTIFS('피드백 로그'!K:K,"보류",'피드백 로그'!J:J,"&lt;="&amp;DATE(2026,5,27))</f>
        <v/>
      </c>
      <c r="H10" s="4">
        <f>COUNTIFS('피드백 로그'!G:G,"Critical",'피드백 로그'!K:K,"&lt;&gt;종료",'피드백 로그'!J:J,"&lt;="&amp;DATE(2026,5,27))</f>
        <v/>
      </c>
      <c r="I10" s="4">
        <f>COUNTIFS('피드백 로그'!G:G,"Major",'피드백 로그'!K:K,"&lt;&gt;종료",'피드백 로그'!J:J,"&lt;="&amp;DATE(2026,5,27))</f>
        <v/>
      </c>
    </row>
    <row r="11">
      <c r="A11" s="4" t="inlineStr">
        <is>
          <t>Day 10</t>
        </is>
      </c>
      <c r="B11" s="4" t="inlineStr">
        <is>
          <t>2026-05-28</t>
        </is>
      </c>
      <c r="C11" s="4">
        <f>COUNTIFS('피드백 로그'!J:J,"="&amp;DATE(2026,5,28))</f>
        <v/>
      </c>
      <c r="D11" s="4">
        <f>COUNTIFS('피드백 로그'!J:J,"&lt;="&amp;DATE(2026,5,28),'피드백 로그'!K:K,"&lt;&gt;종료")</f>
        <v/>
      </c>
      <c r="E11" s="4">
        <f>COUNTIFS('피드백 로그'!Q:Q,"="&amp;DATE(2026,5,28))</f>
        <v/>
      </c>
      <c r="F11" s="4">
        <f>COUNTIFS('피드백 로그'!L:L,"재테스트 대기",'피드백 로그'!J:J,"&lt;="&amp;DATE(2026,5,28))</f>
        <v/>
      </c>
      <c r="G11" s="4">
        <f>COUNTIFS('피드백 로그'!K:K,"보류",'피드백 로그'!J:J,"&lt;="&amp;DATE(2026,5,28))</f>
        <v/>
      </c>
      <c r="H11" s="4">
        <f>COUNTIFS('피드백 로그'!G:G,"Critical",'피드백 로그'!K:K,"&lt;&gt;종료",'피드백 로그'!J:J,"&lt;="&amp;DATE(2026,5,28))</f>
        <v/>
      </c>
      <c r="I11" s="4">
        <f>COUNTIFS('피드백 로그'!G:G,"Major",'피드백 로그'!K:K,"&lt;&gt;종료",'피드백 로그'!J:J,"&lt;="&amp;DATE(2026,5,28))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4" customWidth="1" min="7" max="7"/>
    <col width="14" customWidth="1" min="8" max="8"/>
  </cols>
  <sheetData>
    <row r="1" ht="30" customHeight="1">
      <c r="A1" s="6" t="inlineStr">
        <is>
          <t>모듈</t>
        </is>
      </c>
      <c r="B1" s="6" t="inlineStr">
        <is>
          <t>Critical</t>
        </is>
      </c>
      <c r="C1" s="6" t="inlineStr">
        <is>
          <t>Major</t>
        </is>
      </c>
      <c r="D1" s="6" t="inlineStr">
        <is>
          <t>Minor</t>
        </is>
      </c>
      <c r="E1" s="6" t="inlineStr">
        <is>
          <t>개선</t>
        </is>
      </c>
      <c r="F1" s="6" t="inlineStr">
        <is>
          <t>총건수</t>
        </is>
      </c>
      <c r="G1" s="6" t="inlineStr">
        <is>
          <t>해결완료</t>
        </is>
      </c>
      <c r="H1" s="6" t="inlineStr">
        <is>
          <t>해결률(%)</t>
        </is>
      </c>
    </row>
    <row r="2">
      <c r="A2" s="4" t="inlineStr">
        <is>
          <t>인사관리</t>
        </is>
      </c>
      <c r="B2" s="4">
        <f>COUNTIFS('피드백 로그'!B:B,"인사관리",'피드백 로그'!G:G,"Critical")</f>
        <v/>
      </c>
      <c r="C2" s="4">
        <f>COUNTIFS('피드백 로그'!B:B,"인사관리",'피드백 로그'!G:G,"Major")</f>
        <v/>
      </c>
      <c r="D2" s="4">
        <f>COUNTIFS('피드백 로그'!B:B,"인사관리",'피드백 로그'!G:G,"Minor")</f>
        <v/>
      </c>
      <c r="E2" s="4">
        <f>COUNTIFS('피드백 로그'!B:B,"인사관리",'피드백 로그'!G:G,"개선")</f>
        <v/>
      </c>
      <c r="F2" s="4">
        <f>SUM(B2:E2)</f>
        <v/>
      </c>
      <c r="G2" s="4">
        <f>COUNTIFS('피드백 로그'!B:B,"인사관리",'피드백 로그'!K:K,"종료")</f>
        <v/>
      </c>
      <c r="H2" s="8">
        <f>IFERROR(G2/F2*100,0)</f>
        <v/>
      </c>
    </row>
    <row r="3">
      <c r="A3" s="4" t="inlineStr">
        <is>
          <t>출퇴근</t>
        </is>
      </c>
      <c r="B3" s="4">
        <f>COUNTIFS('피드백 로그'!B:B,"출퇴근",'피드백 로그'!G:G,"Critical")</f>
        <v/>
      </c>
      <c r="C3" s="4">
        <f>COUNTIFS('피드백 로그'!B:B,"출퇴근",'피드백 로그'!G:G,"Major")</f>
        <v/>
      </c>
      <c r="D3" s="4">
        <f>COUNTIFS('피드백 로그'!B:B,"출퇴근",'피드백 로그'!G:G,"Minor")</f>
        <v/>
      </c>
      <c r="E3" s="4">
        <f>COUNTIFS('피드백 로그'!B:B,"출퇴근",'피드백 로그'!G:G,"개선")</f>
        <v/>
      </c>
      <c r="F3" s="4">
        <f>SUM(B3:E3)</f>
        <v/>
      </c>
      <c r="G3" s="4">
        <f>COUNTIFS('피드백 로그'!B:B,"출퇴근",'피드백 로그'!K:K,"종료")</f>
        <v/>
      </c>
      <c r="H3" s="8">
        <f>IFERROR(G3/F3*100,0)</f>
        <v/>
      </c>
    </row>
    <row r="4">
      <c r="A4" s="4" t="inlineStr">
        <is>
          <t>휴가관리</t>
        </is>
      </c>
      <c r="B4" s="4">
        <f>COUNTIFS('피드백 로그'!B:B,"휴가관리",'피드백 로그'!G:G,"Critical")</f>
        <v/>
      </c>
      <c r="C4" s="4">
        <f>COUNTIFS('피드백 로그'!B:B,"휴가관리",'피드백 로그'!G:G,"Major")</f>
        <v/>
      </c>
      <c r="D4" s="4">
        <f>COUNTIFS('피드백 로그'!B:B,"휴가관리",'피드백 로그'!G:G,"Minor")</f>
        <v/>
      </c>
      <c r="E4" s="4">
        <f>COUNTIFS('피드백 로그'!B:B,"휴가관리",'피드백 로그'!G:G,"개선")</f>
        <v/>
      </c>
      <c r="F4" s="4">
        <f>SUM(B4:E4)</f>
        <v/>
      </c>
      <c r="G4" s="4">
        <f>COUNTIFS('피드백 로그'!B:B,"휴가관리",'피드백 로그'!K:K,"종료")</f>
        <v/>
      </c>
      <c r="H4" s="8">
        <f>IFERROR(G4/F4*100,0)</f>
        <v/>
      </c>
    </row>
    <row r="5">
      <c r="A5" s="4" t="inlineStr">
        <is>
          <t>휴직</t>
        </is>
      </c>
      <c r="B5" s="4">
        <f>COUNTIFS('피드백 로그'!B:B,"휴직",'피드백 로그'!G:G,"Critical")</f>
        <v/>
      </c>
      <c r="C5" s="4">
        <f>COUNTIFS('피드백 로그'!B:B,"휴직",'피드백 로그'!G:G,"Major")</f>
        <v/>
      </c>
      <c r="D5" s="4">
        <f>COUNTIFS('피드백 로그'!B:B,"휴직",'피드백 로그'!G:G,"Minor")</f>
        <v/>
      </c>
      <c r="E5" s="4">
        <f>COUNTIFS('피드백 로그'!B:B,"휴직",'피드백 로그'!G:G,"개선")</f>
        <v/>
      </c>
      <c r="F5" s="4">
        <f>SUM(B5:E5)</f>
        <v/>
      </c>
      <c r="G5" s="4">
        <f>COUNTIFS('피드백 로그'!B:B,"휴직",'피드백 로그'!K:K,"종료")</f>
        <v/>
      </c>
      <c r="H5" s="8">
        <f>IFERROR(G5/F5*100,0)</f>
        <v/>
      </c>
    </row>
    <row r="6">
      <c r="A6" s="4" t="inlineStr">
        <is>
          <t>급여</t>
        </is>
      </c>
      <c r="B6" s="4">
        <f>COUNTIFS('피드백 로그'!B:B,"급여",'피드백 로그'!G:G,"Critical")</f>
        <v/>
      </c>
      <c r="C6" s="4">
        <f>COUNTIFS('피드백 로그'!B:B,"급여",'피드백 로그'!G:G,"Major")</f>
        <v/>
      </c>
      <c r="D6" s="4">
        <f>COUNTIFS('피드백 로그'!B:B,"급여",'피드백 로그'!G:G,"Minor")</f>
        <v/>
      </c>
      <c r="E6" s="4">
        <f>COUNTIFS('피드백 로그'!B:B,"급여",'피드백 로그'!G:G,"개선")</f>
        <v/>
      </c>
      <c r="F6" s="4">
        <f>SUM(B6:E6)</f>
        <v/>
      </c>
      <c r="G6" s="4">
        <f>COUNTIFS('피드백 로그'!B:B,"급여",'피드백 로그'!K:K,"종료")</f>
        <v/>
      </c>
      <c r="H6" s="8">
        <f>IFERROR(G6/F6*100,0)</f>
        <v/>
      </c>
    </row>
    <row r="7">
      <c r="A7" s="4" t="inlineStr">
        <is>
          <t>결재·승인</t>
        </is>
      </c>
      <c r="B7" s="4">
        <f>COUNTIFS('피드백 로그'!B:B,"결재·승인",'피드백 로그'!G:G,"Critical")</f>
        <v/>
      </c>
      <c r="C7" s="4">
        <f>COUNTIFS('피드백 로그'!B:B,"결재·승인",'피드백 로그'!G:G,"Major")</f>
        <v/>
      </c>
      <c r="D7" s="4">
        <f>COUNTIFS('피드백 로그'!B:B,"결재·승인",'피드백 로그'!G:G,"Minor")</f>
        <v/>
      </c>
      <c r="E7" s="4">
        <f>COUNTIFS('피드백 로그'!B:B,"결재·승인",'피드백 로그'!G:G,"개선")</f>
        <v/>
      </c>
      <c r="F7" s="4">
        <f>SUM(B7:E7)</f>
        <v/>
      </c>
      <c r="G7" s="4">
        <f>COUNTIFS('피드백 로그'!B:B,"결재·승인",'피드백 로그'!K:K,"종료")</f>
        <v/>
      </c>
      <c r="H7" s="8">
        <f>IFERROR(G7/F7*100,0)</f>
        <v/>
      </c>
    </row>
    <row r="8">
      <c r="A8" s="4" t="inlineStr">
        <is>
          <t>마스터데이터·설정</t>
        </is>
      </c>
      <c r="B8" s="4">
        <f>COUNTIFS('피드백 로그'!B:B,"마스터데이터·설정",'피드백 로그'!G:G,"Critical")</f>
        <v/>
      </c>
      <c r="C8" s="4">
        <f>COUNTIFS('피드백 로그'!B:B,"마스터데이터·설정",'피드백 로그'!G:G,"Major")</f>
        <v/>
      </c>
      <c r="D8" s="4">
        <f>COUNTIFS('피드백 로그'!B:B,"마스터데이터·설정",'피드백 로그'!G:G,"Minor")</f>
        <v/>
      </c>
      <c r="E8" s="4">
        <f>COUNTIFS('피드백 로그'!B:B,"마스터데이터·설정",'피드백 로그'!G:G,"개선")</f>
        <v/>
      </c>
      <c r="F8" s="4">
        <f>SUM(B8:E8)</f>
        <v/>
      </c>
      <c r="G8" s="4">
        <f>COUNTIFS('피드백 로그'!B:B,"마스터데이터·설정",'피드백 로그'!K:K,"종료")</f>
        <v/>
      </c>
      <c r="H8" s="8">
        <f>IFERROR(G8/F8*100,0)</f>
        <v/>
      </c>
    </row>
    <row r="9">
      <c r="A9" s="4" t="inlineStr">
        <is>
          <t>성과</t>
        </is>
      </c>
      <c r="B9" s="4">
        <f>COUNTIFS('피드백 로그'!B:B,"성과",'피드백 로그'!G:G,"Critical")</f>
        <v/>
      </c>
      <c r="C9" s="4">
        <f>COUNTIFS('피드백 로그'!B:B,"성과",'피드백 로그'!G:G,"Major")</f>
        <v/>
      </c>
      <c r="D9" s="4">
        <f>COUNTIFS('피드백 로그'!B:B,"성과",'피드백 로그'!G:G,"Minor")</f>
        <v/>
      </c>
      <c r="E9" s="4">
        <f>COUNTIFS('피드백 로그'!B:B,"성과",'피드백 로그'!G:G,"개선")</f>
        <v/>
      </c>
      <c r="F9" s="4">
        <f>SUM(B9:E9)</f>
        <v/>
      </c>
      <c r="G9" s="4">
        <f>COUNTIFS('피드백 로그'!B:B,"성과",'피드백 로그'!K:K,"종료")</f>
        <v/>
      </c>
      <c r="H9" s="8">
        <f>IFERROR(G9/F9*100,0)</f>
        <v/>
      </c>
    </row>
    <row r="10">
      <c r="A10" s="4" t="inlineStr">
        <is>
          <t>채용</t>
        </is>
      </c>
      <c r="B10" s="4">
        <f>COUNTIFS('피드백 로그'!B:B,"채용",'피드백 로그'!G:G,"Critical")</f>
        <v/>
      </c>
      <c r="C10" s="4">
        <f>COUNTIFS('피드백 로그'!B:B,"채용",'피드백 로그'!G:G,"Major")</f>
        <v/>
      </c>
      <c r="D10" s="4">
        <f>COUNTIFS('피드백 로그'!B:B,"채용",'피드백 로그'!G:G,"Minor")</f>
        <v/>
      </c>
      <c r="E10" s="4">
        <f>COUNTIFS('피드백 로그'!B:B,"채용",'피드백 로그'!G:G,"개선")</f>
        <v/>
      </c>
      <c r="F10" s="4">
        <f>SUM(B10:E10)</f>
        <v/>
      </c>
      <c r="G10" s="4">
        <f>COUNTIFS('피드백 로그'!B:B,"채용",'피드백 로그'!K:K,"종료")</f>
        <v/>
      </c>
      <c r="H10" s="8">
        <f>IFERROR(G10/F10*100,0)</f>
        <v/>
      </c>
    </row>
    <row r="11">
      <c r="A11" s="4" t="inlineStr">
        <is>
          <t>보상</t>
        </is>
      </c>
      <c r="B11" s="4">
        <f>COUNTIFS('피드백 로그'!B:B,"보상",'피드백 로그'!G:G,"Critical")</f>
        <v/>
      </c>
      <c r="C11" s="4">
        <f>COUNTIFS('피드백 로그'!B:B,"보상",'피드백 로그'!G:G,"Major")</f>
        <v/>
      </c>
      <c r="D11" s="4">
        <f>COUNTIFS('피드백 로그'!B:B,"보상",'피드백 로그'!G:G,"Minor")</f>
        <v/>
      </c>
      <c r="E11" s="4">
        <f>COUNTIFS('피드백 로그'!B:B,"보상",'피드백 로그'!G:G,"개선")</f>
        <v/>
      </c>
      <c r="F11" s="4">
        <f>SUM(B11:E11)</f>
        <v/>
      </c>
      <c r="G11" s="4">
        <f>COUNTIFS('피드백 로그'!B:B,"보상",'피드백 로그'!K:K,"종료")</f>
        <v/>
      </c>
      <c r="H11" s="8">
        <f>IFERROR(G11/F11*100,0)</f>
        <v/>
      </c>
    </row>
    <row r="12">
      <c r="A12" s="4" t="inlineStr">
        <is>
          <t>인사이트·분석</t>
        </is>
      </c>
      <c r="B12" s="4">
        <f>COUNTIFS('피드백 로그'!B:B,"인사이트·분석",'피드백 로그'!G:G,"Critical")</f>
        <v/>
      </c>
      <c r="C12" s="4">
        <f>COUNTIFS('피드백 로그'!B:B,"인사이트·분석",'피드백 로그'!G:G,"Major")</f>
        <v/>
      </c>
      <c r="D12" s="4">
        <f>COUNTIFS('피드백 로그'!B:B,"인사이트·분석",'피드백 로그'!G:G,"Minor")</f>
        <v/>
      </c>
      <c r="E12" s="4">
        <f>COUNTIFS('피드백 로그'!B:B,"인사이트·분석",'피드백 로그'!G:G,"개선")</f>
        <v/>
      </c>
      <c r="F12" s="4">
        <f>SUM(B12:E12)</f>
        <v/>
      </c>
      <c r="G12" s="4">
        <f>COUNTIFS('피드백 로그'!B:B,"인사이트·분석",'피드백 로그'!K:K,"종료")</f>
        <v/>
      </c>
      <c r="H12" s="8">
        <f>IFERROR(G12/F12*100,0)</f>
        <v/>
      </c>
    </row>
    <row r="13">
      <c r="A13" s="4" t="inlineStr">
        <is>
          <t>온보딩·오프보딩</t>
        </is>
      </c>
      <c r="B13" s="4">
        <f>COUNTIFS('피드백 로그'!B:B,"온보딩·오프보딩",'피드백 로그'!G:G,"Critical")</f>
        <v/>
      </c>
      <c r="C13" s="4">
        <f>COUNTIFS('피드백 로그'!B:B,"온보딩·오프보딩",'피드백 로그'!G:G,"Major")</f>
        <v/>
      </c>
      <c r="D13" s="4">
        <f>COUNTIFS('피드백 로그'!B:B,"온보딩·오프보딩",'피드백 로그'!G:G,"Minor")</f>
        <v/>
      </c>
      <c r="E13" s="4">
        <f>COUNTIFS('피드백 로그'!B:B,"온보딩·오프보딩",'피드백 로그'!G:G,"개선")</f>
        <v/>
      </c>
      <c r="F13" s="4">
        <f>SUM(B13:E13)</f>
        <v/>
      </c>
      <c r="G13" s="4">
        <f>COUNTIFS('피드백 로그'!B:B,"온보딩·오프보딩",'피드백 로그'!K:K,"종료")</f>
        <v/>
      </c>
      <c r="H13" s="8">
        <f>IFERROR(G13/F13*100,0)</f>
        <v/>
      </c>
    </row>
    <row r="14">
      <c r="A14" s="4" t="inlineStr">
        <is>
          <t>규정준수</t>
        </is>
      </c>
      <c r="B14" s="4">
        <f>COUNTIFS('피드백 로그'!B:B,"규정준수",'피드백 로그'!G:G,"Critical")</f>
        <v/>
      </c>
      <c r="C14" s="4">
        <f>COUNTIFS('피드백 로그'!B:B,"규정준수",'피드백 로그'!G:G,"Major")</f>
        <v/>
      </c>
      <c r="D14" s="4">
        <f>COUNTIFS('피드백 로그'!B:B,"규정준수",'피드백 로그'!G:G,"Minor")</f>
        <v/>
      </c>
      <c r="E14" s="4">
        <f>COUNTIFS('피드백 로그'!B:B,"규정준수",'피드백 로그'!G:G,"개선")</f>
        <v/>
      </c>
      <c r="F14" s="4">
        <f>SUM(B14:E14)</f>
        <v/>
      </c>
      <c r="G14" s="4">
        <f>COUNTIFS('피드백 로그'!B:B,"규정준수",'피드백 로그'!K:K,"종료")</f>
        <v/>
      </c>
      <c r="H14" s="8">
        <f>IFERROR(G14/F14*100,0)</f>
        <v/>
      </c>
    </row>
    <row r="15">
      <c r="A15" s="4" t="inlineStr">
        <is>
          <t>My Space</t>
        </is>
      </c>
      <c r="B15" s="4">
        <f>COUNTIFS('피드백 로그'!B:B,"My Space",'피드백 로그'!G:G,"Critical")</f>
        <v/>
      </c>
      <c r="C15" s="4">
        <f>COUNTIFS('피드백 로그'!B:B,"My Space",'피드백 로그'!G:G,"Major")</f>
        <v/>
      </c>
      <c r="D15" s="4">
        <f>COUNTIFS('피드백 로그'!B:B,"My Space",'피드백 로그'!G:G,"Minor")</f>
        <v/>
      </c>
      <c r="E15" s="4">
        <f>COUNTIFS('피드백 로그'!B:B,"My Space",'피드백 로그'!G:G,"개선")</f>
        <v/>
      </c>
      <c r="F15" s="4">
        <f>SUM(B15:E15)</f>
        <v/>
      </c>
      <c r="G15" s="4">
        <f>COUNTIFS('피드백 로그'!B:B,"My Space",'피드백 로그'!K:K,"종료")</f>
        <v/>
      </c>
      <c r="H15" s="8">
        <f>IFERROR(G15/F15*100,0)</f>
        <v/>
      </c>
    </row>
    <row r="16">
      <c r="A16" s="4" t="inlineStr">
        <is>
          <t>V2 홈</t>
        </is>
      </c>
      <c r="B16" s="4">
        <f>COUNTIFS('피드백 로그'!B:B,"V2 홈",'피드백 로그'!G:G,"Critical")</f>
        <v/>
      </c>
      <c r="C16" s="4">
        <f>COUNTIFS('피드백 로그'!B:B,"V2 홈",'피드백 로그'!G:G,"Major")</f>
        <v/>
      </c>
      <c r="D16" s="4">
        <f>COUNTIFS('피드백 로그'!B:B,"V2 홈",'피드백 로그'!G:G,"Minor")</f>
        <v/>
      </c>
      <c r="E16" s="4">
        <f>COUNTIFS('피드백 로그'!B:B,"V2 홈",'피드백 로그'!G:G,"개선")</f>
        <v/>
      </c>
      <c r="F16" s="4">
        <f>SUM(B16:E16)</f>
        <v/>
      </c>
      <c r="G16" s="4">
        <f>COUNTIFS('피드백 로그'!B:B,"V2 홈",'피드백 로그'!K:K,"종료")</f>
        <v/>
      </c>
      <c r="H16" s="8">
        <f>IFERROR(G16/F16*100,0)</f>
        <v/>
      </c>
    </row>
    <row r="17">
      <c r="A17" s="4" t="inlineStr">
        <is>
          <t>알림</t>
        </is>
      </c>
      <c r="B17" s="4">
        <f>COUNTIFS('피드백 로그'!B:B,"알림",'피드백 로그'!G:G,"Critical")</f>
        <v/>
      </c>
      <c r="C17" s="4">
        <f>COUNTIFS('피드백 로그'!B:B,"알림",'피드백 로그'!G:G,"Major")</f>
        <v/>
      </c>
      <c r="D17" s="4">
        <f>COUNTIFS('피드백 로그'!B:B,"알림",'피드백 로그'!G:G,"Minor")</f>
        <v/>
      </c>
      <c r="E17" s="4">
        <f>COUNTIFS('피드백 로그'!B:B,"알림",'피드백 로그'!G:G,"개선")</f>
        <v/>
      </c>
      <c r="F17" s="4">
        <f>SUM(B17:E17)</f>
        <v/>
      </c>
      <c r="G17" s="4">
        <f>COUNTIFS('피드백 로그'!B:B,"알림",'피드백 로그'!K:K,"종료")</f>
        <v/>
      </c>
      <c r="H17" s="8">
        <f>IFERROR(G17/F17*100,0)</f>
        <v/>
      </c>
    </row>
    <row r="18">
      <c r="A18" s="4" t="inlineStr">
        <is>
          <t>엣지케이스</t>
        </is>
      </c>
      <c r="B18" s="4">
        <f>COUNTIFS('피드백 로그'!B:B,"엣지케이스",'피드백 로그'!G:G,"Critical")</f>
        <v/>
      </c>
      <c r="C18" s="4">
        <f>COUNTIFS('피드백 로그'!B:B,"엣지케이스",'피드백 로그'!G:G,"Major")</f>
        <v/>
      </c>
      <c r="D18" s="4">
        <f>COUNTIFS('피드백 로그'!B:B,"엣지케이스",'피드백 로그'!G:G,"Minor")</f>
        <v/>
      </c>
      <c r="E18" s="4">
        <f>COUNTIFS('피드백 로그'!B:B,"엣지케이스",'피드백 로그'!G:G,"개선")</f>
        <v/>
      </c>
      <c r="F18" s="4">
        <f>SUM(B18:E18)</f>
        <v/>
      </c>
      <c r="G18" s="4">
        <f>COUNTIFS('피드백 로그'!B:B,"엣지케이스",'피드백 로그'!K:K,"종료")</f>
        <v/>
      </c>
      <c r="H18" s="8">
        <f>IFERROR(G18/F18*100,0)</f>
        <v/>
      </c>
    </row>
    <row r="19">
      <c r="A19" s="4" t="inlineStr">
        <is>
          <t>기타</t>
        </is>
      </c>
      <c r="B19" s="4">
        <f>COUNTIFS('피드백 로그'!B:B,"기타",'피드백 로그'!G:G,"Critical")</f>
        <v/>
      </c>
      <c r="C19" s="4">
        <f>COUNTIFS('피드백 로그'!B:B,"기타",'피드백 로그'!G:G,"Major")</f>
        <v/>
      </c>
      <c r="D19" s="4">
        <f>COUNTIFS('피드백 로그'!B:B,"기타",'피드백 로그'!G:G,"Minor")</f>
        <v/>
      </c>
      <c r="E19" s="4">
        <f>COUNTIFS('피드백 로그'!B:B,"기타",'피드백 로그'!G:G,"개선")</f>
        <v/>
      </c>
      <c r="F19" s="4">
        <f>SUM(B19:E19)</f>
        <v/>
      </c>
      <c r="G19" s="4">
        <f>COUNTIFS('피드백 로그'!B:B,"기타",'피드백 로그'!K:K,"종료")</f>
        <v/>
      </c>
      <c r="H19" s="8">
        <f>IFERROR(G19/F19*100,0)</f>
        <v/>
      </c>
    </row>
    <row r="20">
      <c r="A20" s="9" t="inlineStr">
        <is>
          <t>합계</t>
        </is>
      </c>
      <c r="B20" s="9">
        <f>SUM(B2:B19)</f>
        <v/>
      </c>
      <c r="C20" s="9">
        <f>SUM(C2:C19)</f>
        <v/>
      </c>
      <c r="D20" s="9">
        <f>SUM(D2:D19)</f>
        <v/>
      </c>
      <c r="E20" s="9">
        <f>SUM(E2:E19)</f>
        <v/>
      </c>
      <c r="F20" s="9">
        <f>SUM(F2:F19)</f>
        <v/>
      </c>
      <c r="G20" s="9">
        <f>SUM(G2:G19)</f>
        <v/>
      </c>
      <c r="H20" s="10">
        <f>IFERROR(G20/F20*100,0)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6" t="inlineStr">
        <is>
          <t>심각도</t>
        </is>
      </c>
      <c r="B1" s="6" t="inlineStr">
        <is>
          <t>신규</t>
        </is>
      </c>
      <c r="C1" s="6" t="inlineStr">
        <is>
          <t>확인중</t>
        </is>
      </c>
      <c r="D1" s="6" t="inlineStr">
        <is>
          <t>수정중</t>
        </is>
      </c>
      <c r="E1" s="6" t="inlineStr">
        <is>
          <t>수정완료</t>
        </is>
      </c>
      <c r="F1" s="6" t="inlineStr">
        <is>
          <t>재테스트</t>
        </is>
      </c>
      <c r="G1" s="6" t="inlineStr">
        <is>
          <t>종료</t>
        </is>
      </c>
      <c r="H1" s="6" t="inlineStr">
        <is>
          <t>보류</t>
        </is>
      </c>
      <c r="I1" s="6" t="inlineStr">
        <is>
          <t>총건수</t>
        </is>
      </c>
    </row>
    <row r="2">
      <c r="A2" s="4" t="inlineStr">
        <is>
          <t>Critical</t>
        </is>
      </c>
      <c r="B2" s="4">
        <f>COUNTIFS('피드백 로그'!G:G,"Critical",'피드백 로그'!K:K,"신규")</f>
        <v/>
      </c>
      <c r="C2" s="4">
        <f>COUNTIFS('피드백 로그'!G:G,"Critical",'피드백 로그'!K:K,"확인중")</f>
        <v/>
      </c>
      <c r="D2" s="4">
        <f>COUNTIFS('피드백 로그'!G:G,"Critical",'피드백 로그'!K:K,"수정중")</f>
        <v/>
      </c>
      <c r="E2" s="4">
        <f>COUNTIFS('피드백 로그'!G:G,"Critical",'피드백 로그'!K:K,"수정완료")</f>
        <v/>
      </c>
      <c r="F2" s="4">
        <f>COUNTIFS('피드백 로그'!G:G,"Critical",'피드백 로그'!K:K,"재테스트")</f>
        <v/>
      </c>
      <c r="G2" s="4">
        <f>COUNTIFS('피드백 로그'!G:G,"Critical",'피드백 로그'!K:K,"종료")</f>
        <v/>
      </c>
      <c r="H2" s="4">
        <f>COUNTIFS('피드백 로그'!G:G,"Critical",'피드백 로그'!K:K,"보류")</f>
        <v/>
      </c>
      <c r="I2" s="4">
        <f>SUM(B2:H2)</f>
        <v/>
      </c>
    </row>
    <row r="3">
      <c r="A3" s="4" t="inlineStr">
        <is>
          <t>Major</t>
        </is>
      </c>
      <c r="B3" s="4">
        <f>COUNTIFS('피드백 로그'!G:G,"Major",'피드백 로그'!K:K,"신규")</f>
        <v/>
      </c>
      <c r="C3" s="4">
        <f>COUNTIFS('피드백 로그'!G:G,"Major",'피드백 로그'!K:K,"확인중")</f>
        <v/>
      </c>
      <c r="D3" s="4">
        <f>COUNTIFS('피드백 로그'!G:G,"Major",'피드백 로그'!K:K,"수정중")</f>
        <v/>
      </c>
      <c r="E3" s="4">
        <f>COUNTIFS('피드백 로그'!G:G,"Major",'피드백 로그'!K:K,"수정완료")</f>
        <v/>
      </c>
      <c r="F3" s="4">
        <f>COUNTIFS('피드백 로그'!G:G,"Major",'피드백 로그'!K:K,"재테스트")</f>
        <v/>
      </c>
      <c r="G3" s="4">
        <f>COUNTIFS('피드백 로그'!G:G,"Major",'피드백 로그'!K:K,"종료")</f>
        <v/>
      </c>
      <c r="H3" s="4">
        <f>COUNTIFS('피드백 로그'!G:G,"Major",'피드백 로그'!K:K,"보류")</f>
        <v/>
      </c>
      <c r="I3" s="4">
        <f>SUM(B3:H3)</f>
        <v/>
      </c>
    </row>
    <row r="4">
      <c r="A4" s="4" t="inlineStr">
        <is>
          <t>Minor</t>
        </is>
      </c>
      <c r="B4" s="4">
        <f>COUNTIFS('피드백 로그'!G:G,"Minor",'피드백 로그'!K:K,"신규")</f>
        <v/>
      </c>
      <c r="C4" s="4">
        <f>COUNTIFS('피드백 로그'!G:G,"Minor",'피드백 로그'!K:K,"확인중")</f>
        <v/>
      </c>
      <c r="D4" s="4">
        <f>COUNTIFS('피드백 로그'!G:G,"Minor",'피드백 로그'!K:K,"수정중")</f>
        <v/>
      </c>
      <c r="E4" s="4">
        <f>COUNTIFS('피드백 로그'!G:G,"Minor",'피드백 로그'!K:K,"수정완료")</f>
        <v/>
      </c>
      <c r="F4" s="4">
        <f>COUNTIFS('피드백 로그'!G:G,"Minor",'피드백 로그'!K:K,"재테스트")</f>
        <v/>
      </c>
      <c r="G4" s="4">
        <f>COUNTIFS('피드백 로그'!G:G,"Minor",'피드백 로그'!K:K,"종료")</f>
        <v/>
      </c>
      <c r="H4" s="4">
        <f>COUNTIFS('피드백 로그'!G:G,"Minor",'피드백 로그'!K:K,"보류")</f>
        <v/>
      </c>
      <c r="I4" s="4">
        <f>SUM(B4:H4)</f>
        <v/>
      </c>
    </row>
    <row r="5">
      <c r="A5" s="4" t="inlineStr">
        <is>
          <t>개선</t>
        </is>
      </c>
      <c r="B5" s="4">
        <f>COUNTIFS('피드백 로그'!G:G,"개선",'피드백 로그'!K:K,"신규")</f>
        <v/>
      </c>
      <c r="C5" s="4">
        <f>COUNTIFS('피드백 로그'!G:G,"개선",'피드백 로그'!K:K,"확인중")</f>
        <v/>
      </c>
      <c r="D5" s="4">
        <f>COUNTIFS('피드백 로그'!G:G,"개선",'피드백 로그'!K:K,"수정중")</f>
        <v/>
      </c>
      <c r="E5" s="4">
        <f>COUNTIFS('피드백 로그'!G:G,"개선",'피드백 로그'!K:K,"수정완료")</f>
        <v/>
      </c>
      <c r="F5" s="4">
        <f>COUNTIFS('피드백 로그'!G:G,"개선",'피드백 로그'!K:K,"재테스트")</f>
        <v/>
      </c>
      <c r="G5" s="4">
        <f>COUNTIFS('피드백 로그'!G:G,"개선",'피드백 로그'!K:K,"종료")</f>
        <v/>
      </c>
      <c r="H5" s="4">
        <f>COUNTIFS('피드백 로그'!G:G,"개선",'피드백 로그'!K:K,"보류")</f>
        <v/>
      </c>
      <c r="I5" s="4">
        <f>SUM(B5:H5)</f>
        <v/>
      </c>
    </row>
    <row r="6">
      <c r="A6" s="9" t="inlineStr">
        <is>
          <t>합계</t>
        </is>
      </c>
      <c r="B6" s="9">
        <f>SUM(B2:B5)</f>
        <v/>
      </c>
      <c r="C6" s="9">
        <f>SUM(C2:C5)</f>
        <v/>
      </c>
      <c r="D6" s="9">
        <f>SUM(D2:D5)</f>
        <v/>
      </c>
      <c r="E6" s="9">
        <f>SUM(E2:E5)</f>
        <v/>
      </c>
      <c r="F6" s="9">
        <f>SUM(F2:F5)</f>
        <v/>
      </c>
      <c r="G6" s="9">
        <f>SUM(G2:G5)</f>
        <v/>
      </c>
      <c r="H6" s="9">
        <f>SUM(H2:H5)</f>
        <v/>
      </c>
      <c r="I6" s="9">
        <f>SUM(I2:I5)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16" customWidth="1" min="4" max="4"/>
    <col width="16" customWidth="1" min="5" max="5"/>
  </cols>
  <sheetData>
    <row r="1">
      <c r="A1" s="1" t="inlineStr">
        <is>
          <t>CTR HR Hub UAT 최종 판정</t>
        </is>
      </c>
    </row>
    <row r="3">
      <c r="A3" s="2" t="inlineStr">
        <is>
          <t>통과 기준 체크리스트</t>
        </is>
      </c>
    </row>
    <row r="4">
      <c r="A4" s="6" t="inlineStr">
        <is>
          <t>#</t>
        </is>
      </c>
      <c r="B4" s="6" t="inlineStr">
        <is>
          <t>기준</t>
        </is>
      </c>
      <c r="C4" s="6" t="inlineStr">
        <is>
          <t>목표</t>
        </is>
      </c>
      <c r="D4" s="6" t="inlineStr">
        <is>
          <t>실제</t>
        </is>
      </c>
      <c r="E4" s="6" t="inlineStr">
        <is>
          <t>충족여부</t>
        </is>
      </c>
    </row>
    <row r="5">
      <c r="A5" s="4" t="n">
        <v>1</v>
      </c>
      <c r="B5" s="4" t="inlineStr">
        <is>
          <t>Critical 미해결 건수</t>
        </is>
      </c>
      <c r="C5" s="4" t="inlineStr">
        <is>
          <t>0건</t>
        </is>
      </c>
      <c r="D5" s="4">
        <f>COUNTIFS('피드백 로그'!G:G,"Critical",'피드백 로그'!K:K,"&lt;&gt;종료")</f>
        <v/>
      </c>
      <c r="E5" s="4" t="n"/>
    </row>
    <row r="6">
      <c r="A6" s="4" t="n">
        <v>2</v>
      </c>
      <c r="B6" s="4" t="inlineStr">
        <is>
          <t>Major 미해결 — 핵심 모듈 (인사/출퇴근/휴가/휴직/급여/결재·승인/설정)</t>
        </is>
      </c>
      <c r="C6" s="4" t="inlineStr">
        <is>
          <t>0건</t>
        </is>
      </c>
      <c r="D6" s="4">
        <f>COUNTIFS('피드백 로그'!G:G,"Major",'피드백 로그'!K:K,"&lt;&gt;종료",'피드백 로그'!P:P,"차단")</f>
        <v/>
      </c>
      <c r="E6" s="4" t="n"/>
    </row>
    <row r="7">
      <c r="A7" s="4" t="n">
        <v>3</v>
      </c>
      <c r="B7" s="4" t="inlineStr">
        <is>
          <t>Major 해결률 (전체)</t>
        </is>
      </c>
      <c r="C7" s="4" t="inlineStr">
        <is>
          <t>&gt;=80%</t>
        </is>
      </c>
      <c r="D7" s="4">
        <f>IFERROR(COUNTIFS('피드백 로그'!G:G,"Major",'피드백 로그'!K:K,"종료")/COUNTIF('피드백 로그'!G:G,"Major")*100,0)</f>
        <v/>
      </c>
      <c r="E7" s="4" t="n"/>
    </row>
    <row r="8">
      <c r="A8" s="4" t="n">
        <v>4</v>
      </c>
      <c r="B8" s="4" t="inlineStr">
        <is>
          <t>핵심 시나리오 통과율</t>
        </is>
      </c>
      <c r="C8" s="4" t="inlineStr">
        <is>
          <t>&gt;=95%</t>
        </is>
      </c>
      <c r="D8" s="4" t="inlineStr">
        <is>
          <t>(테스트북 집계 시트에서 확인)</t>
        </is>
      </c>
      <c r="E8" s="4" t="n"/>
    </row>
    <row r="9">
      <c r="A9" s="4" t="n">
        <v>5</v>
      </c>
      <c r="B9" s="4" t="inlineStr">
        <is>
          <t>체크리스트 통과율</t>
        </is>
      </c>
      <c r="C9" s="4" t="inlineStr">
        <is>
          <t>&gt;=90%</t>
        </is>
      </c>
      <c r="D9" s="4" t="inlineStr">
        <is>
          <t>(테스트북 집계 시트에서 확인)</t>
        </is>
      </c>
      <c r="E9" s="4" t="n"/>
    </row>
    <row r="10">
      <c r="A10" s="4" t="n">
        <v>6</v>
      </c>
      <c r="B10" s="4" t="inlineStr">
        <is>
          <t>보안/데이터 이슈 미해결</t>
        </is>
      </c>
      <c r="C10" s="4" t="inlineStr">
        <is>
          <t>0건</t>
        </is>
      </c>
      <c r="D10" s="4">
        <f>COUNTIFS('피드백 로그'!B:B,"규정준수",'피드백 로그'!K:K,"&lt;&gt;종료")</f>
        <v/>
      </c>
      <c r="E10" s="4" t="n"/>
    </row>
    <row r="11">
      <c r="A11" s="4" t="n">
        <v>7</v>
      </c>
      <c r="B11" s="4" t="inlineStr">
        <is>
          <t>i18n 누락 0건</t>
        </is>
      </c>
      <c r="C11" s="4" t="inlineStr">
        <is>
          <t>0건</t>
        </is>
      </c>
      <c r="D11" s="4">
        <f>COUNTIFS('피드백 로그'!D:D,"*i18n*",'피드백 로그'!K:K,"&lt;&gt;종료")+COUNTIFS('피드백 로그'!D:D,"*번역*",'피드백 로그'!K:K,"&lt;&gt;종료")</f>
        <v/>
      </c>
      <c r="E11" s="4" t="n"/>
    </row>
    <row r="14">
      <c r="A14" s="2" t="inlineStr">
        <is>
          <t>최종 판정</t>
        </is>
      </c>
    </row>
    <row r="15">
      <c r="B15" s="11" t="inlineStr">
        <is>
          <t>전체 GO — 운영 배포 진행</t>
        </is>
      </c>
      <c r="C15" s="11" t="inlineStr">
        <is>
          <t>[ ]</t>
        </is>
      </c>
    </row>
    <row r="16">
      <c r="B16" s="11" t="inlineStr">
        <is>
          <t>조건부 GO — 명시된 조건 해결 후 배포</t>
        </is>
      </c>
      <c r="C16" s="11" t="inlineStr">
        <is>
          <t>[ ]</t>
        </is>
      </c>
    </row>
    <row r="17">
      <c r="B17" s="11" t="inlineStr">
        <is>
          <t>NO-GO — 재테스트 필요</t>
        </is>
      </c>
      <c r="C17" s="11" t="inlineStr">
        <is>
          <t>[ ]</t>
        </is>
      </c>
    </row>
    <row r="19">
      <c r="A19" s="2" t="inlineStr">
        <is>
          <t>조건부 GO 시 조건</t>
        </is>
      </c>
    </row>
    <row r="20">
      <c r="B20" s="5" t="inlineStr">
        <is>
          <t>1.</t>
        </is>
      </c>
    </row>
    <row r="21">
      <c r="B21" s="5" t="inlineStr">
        <is>
          <t>2.</t>
        </is>
      </c>
    </row>
    <row r="22">
      <c r="B22" s="5" t="inlineStr">
        <is>
          <t>3.</t>
        </is>
      </c>
    </row>
    <row r="23">
      <c r="B23" s="5" t="inlineStr">
        <is>
          <t>4.</t>
        </is>
      </c>
    </row>
    <row r="25">
      <c r="A25" s="2" t="inlineStr">
        <is>
          <t>사인오프</t>
        </is>
      </c>
    </row>
    <row r="26">
      <c r="A26" s="6" t="inlineStr">
        <is>
          <t>역할</t>
        </is>
      </c>
      <c r="B26" s="6" t="inlineStr">
        <is>
          <t>이름</t>
        </is>
      </c>
      <c r="C26" s="6" t="inlineStr">
        <is>
          <t>서명</t>
        </is>
      </c>
      <c r="D26" s="6" t="inlineStr">
        <is>
          <t>날짜</t>
        </is>
      </c>
    </row>
    <row r="27" ht="28" customHeight="1">
      <c r="A27" s="4" t="inlineStr">
        <is>
          <t>UAT 관리자</t>
        </is>
      </c>
      <c r="B27" s="7" t="n"/>
      <c r="C27" s="7" t="n"/>
      <c r="D27" s="7" t="n"/>
    </row>
    <row r="28" ht="28" customHeight="1">
      <c r="A28" s="4" t="inlineStr">
        <is>
          <t>HR 담당자 1</t>
        </is>
      </c>
      <c r="B28" s="7" t="n"/>
      <c r="C28" s="7" t="n"/>
      <c r="D28" s="7" t="n"/>
    </row>
    <row r="29" ht="28" customHeight="1">
      <c r="A29" s="4" t="inlineStr">
        <is>
          <t>HR 담당자 2</t>
        </is>
      </c>
      <c r="B29" s="7" t="n"/>
      <c r="C29" s="7" t="n"/>
      <c r="D29" s="7" t="n"/>
    </row>
    <row r="30" ht="28" customHeight="1">
      <c r="A30" s="4" t="inlineStr">
        <is>
          <t>CEO 승인</t>
        </is>
      </c>
      <c r="B30" s="7" t="n"/>
      <c r="C30" s="7" t="n"/>
      <c r="D30" s="7" t="n"/>
    </row>
  </sheetData>
  <mergeCells count="5">
    <mergeCell ref="B23:E23"/>
    <mergeCell ref="B21:E21"/>
    <mergeCell ref="A1:E1"/>
    <mergeCell ref="B20:E20"/>
    <mergeCell ref="B22:E22"/>
  </mergeCells>
  <dataValidations count="1">
    <dataValidation sqref="E5:E11" showDropDown="0" showInputMessage="0" showErrorMessage="0" allowBlank="1" type="list">
      <formula1>"충족,미충족,N/A"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2026-05-12T09:22:51Z</dcterms:created>
  <dcterms:modified xmlns:dcterms="http://purl.org/dc/terms/" xmlns:xsi="http://www.w3.org/2001/XMLSchema-instance" xsi:type="dcterms:W3CDTF">2026-05-12T09:22:51Z</dcterms:modified>
</cp:coreProperties>
</file>