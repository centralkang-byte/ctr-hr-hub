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포트 작성법" sheetId="1" state="visible" r:id="rId1"/>
    <sheet xmlns:r="http://schemas.openxmlformats.org/officeDocument/2006/relationships" name="피드백 로그" sheetId="2" state="visible" r:id="rId2"/>
    <sheet xmlns:r="http://schemas.openxmlformats.org/officeDocument/2006/relationships" name="일별 트리아지" sheetId="3" state="visible" r:id="rId3"/>
    <sheet xmlns:r="http://schemas.openxmlformats.org/officeDocument/2006/relationships" name="모듈별 집계" sheetId="4" state="visible" r:id="rId4"/>
    <sheet xmlns:r="http://schemas.openxmlformats.org/officeDocument/2006/relationships" name="심각도별 집계" sheetId="5" state="visible" r:id="rId5"/>
    <sheet xmlns:r="http://schemas.openxmlformats.org/officeDocument/2006/relationships" name="UAT 판정" sheetId="6" state="visible" r:id="rId6"/>
  </sheets>
  <definedNames>
    <definedName name="_xlnm._FilterDatabase" localSheetId="1" hidden="1">'피드백 로그'!$A$1:$R$101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6"/>
    </font>
  </fonts>
  <fills count="11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DDCC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9" borderId="1" pivotButton="0" quotePrefix="0" xfId="0"/>
    <xf numFmtId="1" fontId="5" fillId="9" borderId="1" applyAlignment="1" pivotButton="0" quotePrefix="0" xfId="0">
      <alignment horizontal="center" vertical="center" wrapText="1"/>
    </xf>
    <xf numFmtId="165" fontId="5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dxfs count="6">
    <dxf>
      <fill>
        <patternFill patternType="solid">
          <fgColor rgb="00FFC7CE"/>
        </patternFill>
      </fill>
    </dxf>
    <dxf>
      <fill>
        <patternFill patternType="solid">
          <fgColor rgb="00FFDDCC"/>
        </patternFill>
      </fill>
    </dxf>
    <dxf>
      <font>
        <name val="Arial"/>
        <strike val="1"/>
        <color rgb="00999999"/>
      </font>
    </dxf>
    <dxf>
      <font>
        <name val="Arial"/>
        <b val="1"/>
        <color rgb="00FF0000"/>
      </font>
    </dxf>
    <dxf>
      <font>
        <name val="Arial"/>
        <b val="1"/>
        <color rgb="00FF0000"/>
      </font>
      <fill>
        <patternFill patternType="solid">
          <fgColor rgb="00FFC7CE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</cols>
  <sheetData>
    <row r="1">
      <c r="A1" s="1" t="inlineStr">
        <is>
          <t>CTR HR Hub UAT 피드백 리포트 작성 가이드</t>
        </is>
      </c>
    </row>
    <row r="3">
      <c r="A3" s="2" t="inlineStr">
        <is>
          <t>심각도 기준</t>
        </is>
      </c>
    </row>
    <row r="4">
      <c r="A4" s="3" t="inlineStr">
        <is>
          <t>심각도</t>
        </is>
      </c>
      <c r="B4" s="3" t="inlineStr">
        <is>
          <t>정의</t>
        </is>
      </c>
      <c r="C4" s="3" t="inlineStr">
        <is>
          <t>예시</t>
        </is>
      </c>
    </row>
    <row r="5">
      <c r="A5" s="4" t="inlineStr">
        <is>
          <t>Critical</t>
        </is>
      </c>
      <c r="B5" s="4" t="inlineStr">
        <is>
          <t>시스템 사용 불가, 데이터 손실/유출</t>
        </is>
      </c>
      <c r="C5" s="4" t="inlineStr">
        <is>
          <t>로그인 불가, 급여 오계산, 타 법인 데이터 노출</t>
        </is>
      </c>
    </row>
    <row r="6">
      <c r="A6" s="5" t="inlineStr">
        <is>
          <t>Major</t>
        </is>
      </c>
      <c r="B6" s="5" t="inlineStr">
        <is>
          <t>핵심 업무 수행 방해</t>
        </is>
      </c>
      <c r="C6" s="5" t="inlineStr">
        <is>
          <t>휴가 신청 실패, 결재 안됨, 직원 등록 오류</t>
        </is>
      </c>
    </row>
    <row r="7">
      <c r="A7" s="6" t="inlineStr">
        <is>
          <t>Minor</t>
        </is>
      </c>
      <c r="B7" s="6" t="inlineStr">
        <is>
          <t>불편하지만 우회 가능</t>
        </is>
      </c>
      <c r="C7" s="6" t="inlineStr">
        <is>
          <t>UI 깨짐, 번역 누락, 느린 로딩</t>
        </is>
      </c>
    </row>
    <row r="8">
      <c r="A8" s="6" t="inlineStr">
        <is>
          <t>개선</t>
        </is>
      </c>
      <c r="B8" s="6" t="inlineStr">
        <is>
          <t>기능 개선 제안</t>
        </is>
      </c>
      <c r="C8" s="6" t="inlineStr">
        <is>
          <t>UX 개선, 필터 추가, 라벨 변경</t>
        </is>
      </c>
    </row>
    <row r="10">
      <c r="A10" s="2" t="inlineStr">
        <is>
          <t>작성 예시</t>
        </is>
      </c>
    </row>
    <row r="11">
      <c r="A11" s="3" t="inlineStr">
        <is>
          <t>필드</t>
        </is>
      </c>
      <c r="B11" s="3" t="inlineStr">
        <is>
          <t>예시 값</t>
        </is>
      </c>
    </row>
    <row r="12">
      <c r="A12" s="6" t="inlineStr">
        <is>
          <t>모듈</t>
        </is>
      </c>
      <c r="B12" s="6" t="inlineStr">
        <is>
          <t>휴가관리</t>
        </is>
      </c>
    </row>
    <row r="13">
      <c r="A13" s="6" t="inlineStr">
        <is>
          <t>시나리오#</t>
        </is>
      </c>
      <c r="B13" s="6" t="inlineStr">
        <is>
          <t>L-003</t>
        </is>
      </c>
    </row>
    <row r="14">
      <c r="A14" s="6" t="inlineStr">
        <is>
          <t>설명</t>
        </is>
      </c>
      <c r="B14" s="6" t="inlineStr">
        <is>
          <t>반차 신청 시 잔여일수가 1일 차감됨 (0.5일이어야 함)</t>
        </is>
      </c>
    </row>
    <row r="15">
      <c r="A15" s="6" t="inlineStr">
        <is>
          <t>기대결과</t>
        </is>
      </c>
      <c r="B15" s="6" t="inlineStr">
        <is>
          <t>반차 신청 후 잔여일수 14.5일</t>
        </is>
      </c>
    </row>
    <row r="16">
      <c r="A16" s="6" t="inlineStr">
        <is>
          <t>실제결과</t>
        </is>
      </c>
      <c r="B16" s="6" t="inlineStr">
        <is>
          <t>잔여일수 14일로 표시</t>
        </is>
      </c>
    </row>
    <row r="17">
      <c r="A17" s="6" t="inlineStr">
        <is>
          <t>심각도</t>
        </is>
      </c>
      <c r="B17" s="6" t="inlineStr">
        <is>
          <t>Major</t>
        </is>
      </c>
    </row>
    <row r="18">
      <c r="A18" s="6" t="inlineStr">
        <is>
          <t>스크린샷</t>
        </is>
      </c>
      <c r="B18" s="6" t="inlineStr">
        <is>
          <t>(캡처 이미지 첨부)</t>
        </is>
      </c>
    </row>
    <row r="19">
      <c r="A19" s="6" t="inlineStr">
        <is>
          <t>테스터</t>
        </is>
      </c>
      <c r="B19" s="6" t="inlineStr">
        <is>
          <t>한지영</t>
        </is>
      </c>
    </row>
    <row r="20">
      <c r="A20" s="6" t="inlineStr">
        <is>
          <t>날짜</t>
        </is>
      </c>
      <c r="B20" s="6" t="inlineStr">
        <is>
          <t>2026-04-21</t>
        </is>
      </c>
    </row>
    <row r="22">
      <c r="A22" s="2" t="inlineStr">
        <is>
          <t>리포트 규칙</t>
        </is>
      </c>
    </row>
    <row r="23">
      <c r="A23" s="7" t="inlineStr">
        <is>
          <t>1. 스크린샷은 필수 (Print Screen → Excel에 붙여넣기)</t>
        </is>
      </c>
    </row>
    <row r="24">
      <c r="A24" s="7" t="inlineStr">
        <is>
          <t>2. URL은 브라우저 주소창에서 복사</t>
        </is>
      </c>
    </row>
    <row r="25">
      <c r="A25" s="7" t="inlineStr">
        <is>
          <t>3. 재현 스텝은 최대한 구체적으로</t>
        </is>
      </c>
    </row>
    <row r="26">
      <c r="A26" s="7" t="inlineStr">
        <is>
          <t>4. 이미 보고된 건은 중복 기입하지 않고, 기존 이슈ID 참조</t>
        </is>
      </c>
    </row>
    <row r="27">
      <c r="A27" s="7" t="inlineStr">
        <is>
          <t>5. Critical 발견 시 즉시 UAT 관리자에게 구두 보고</t>
        </is>
      </c>
    </row>
  </sheetData>
  <mergeCells count="9">
    <mergeCell ref="A25:C25"/>
    <mergeCell ref="A1:G1"/>
    <mergeCell ref="A23:C23"/>
    <mergeCell ref="A3:G3"/>
    <mergeCell ref="A22:G22"/>
    <mergeCell ref="A27:C27"/>
    <mergeCell ref="A26:C26"/>
    <mergeCell ref="A24:C24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0" customWidth="1" min="4" max="4"/>
    <col width="30" customWidth="1" min="5" max="5"/>
    <col width="30" customWidth="1" min="6" max="6"/>
    <col width="10" customWidth="1" min="7" max="7"/>
    <col width="15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20" customWidth="1" min="18" max="18"/>
  </cols>
  <sheetData>
    <row r="1">
      <c r="A1" s="8" t="inlineStr">
        <is>
          <t>이슈ID</t>
        </is>
      </c>
      <c r="B1" s="8" t="inlineStr">
        <is>
          <t>모듈</t>
        </is>
      </c>
      <c r="C1" s="8" t="inlineStr">
        <is>
          <t>시나리오/항목#</t>
        </is>
      </c>
      <c r="D1" s="8" t="inlineStr">
        <is>
          <t>설명</t>
        </is>
      </c>
      <c r="E1" s="8" t="inlineStr">
        <is>
          <t>기대결과</t>
        </is>
      </c>
      <c r="F1" s="8" t="inlineStr">
        <is>
          <t>실제결과</t>
        </is>
      </c>
      <c r="G1" s="8" t="inlineStr">
        <is>
          <t>심각도</t>
        </is>
      </c>
      <c r="H1" s="8" t="inlineStr">
        <is>
          <t>스크린샷</t>
        </is>
      </c>
      <c r="I1" s="8" t="inlineStr">
        <is>
          <t>테스터</t>
        </is>
      </c>
      <c r="J1" s="8" t="inlineStr">
        <is>
          <t>발견일</t>
        </is>
      </c>
      <c r="K1" s="8" t="inlineStr">
        <is>
          <t>상태</t>
        </is>
      </c>
      <c r="L1" s="8" t="inlineStr">
        <is>
          <t>재테스트 상태</t>
        </is>
      </c>
      <c r="M1" s="8" t="inlineStr">
        <is>
          <t>결함 경과일</t>
        </is>
      </c>
      <c r="N1" s="8" t="inlineStr">
        <is>
          <t>담당자</t>
        </is>
      </c>
      <c r="O1" s="8" t="inlineStr">
        <is>
          <t>수용/보류</t>
        </is>
      </c>
      <c r="P1" s="8" t="inlineStr">
        <is>
          <t>Go-live 차단</t>
        </is>
      </c>
      <c r="Q1" s="8" t="inlineStr">
        <is>
          <t>해결일</t>
        </is>
      </c>
      <c r="R1" s="8" t="inlineStr">
        <is>
          <t>비고</t>
        </is>
      </c>
    </row>
    <row r="2">
      <c r="A2" s="9" t="inlineStr">
        <is>
          <t>FB-001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10" t="n"/>
      <c r="K2" s="6" t="n"/>
      <c r="L2" s="6" t="n"/>
      <c r="M2" s="11">
        <f>IF(J2="","",TODAY()-J2)</f>
        <v/>
      </c>
      <c r="N2" s="6" t="n"/>
      <c r="O2" s="6" t="n"/>
      <c r="P2" s="6" t="n"/>
      <c r="Q2" s="10" t="n"/>
      <c r="R2" s="6" t="n"/>
    </row>
    <row r="3">
      <c r="A3" s="9" t="inlineStr">
        <is>
          <t>FB-002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10" t="n"/>
      <c r="K3" s="6" t="n"/>
      <c r="L3" s="6" t="n"/>
      <c r="M3" s="11">
        <f>IF(J3="","",TODAY()-J3)</f>
        <v/>
      </c>
      <c r="N3" s="6" t="n"/>
      <c r="O3" s="6" t="n"/>
      <c r="P3" s="6" t="n"/>
      <c r="Q3" s="10" t="n"/>
      <c r="R3" s="6" t="n"/>
    </row>
    <row r="4">
      <c r="A4" s="9" t="inlineStr">
        <is>
          <t>FB-003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10" t="n"/>
      <c r="K4" s="6" t="n"/>
      <c r="L4" s="6" t="n"/>
      <c r="M4" s="11">
        <f>IF(J4="","",TODAY()-J4)</f>
        <v/>
      </c>
      <c r="N4" s="6" t="n"/>
      <c r="O4" s="6" t="n"/>
      <c r="P4" s="6" t="n"/>
      <c r="Q4" s="10" t="n"/>
      <c r="R4" s="6" t="n"/>
    </row>
    <row r="5">
      <c r="A5" s="9" t="inlineStr">
        <is>
          <t>FB-004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10" t="n"/>
      <c r="K5" s="6" t="n"/>
      <c r="L5" s="6" t="n"/>
      <c r="M5" s="11">
        <f>IF(J5="","",TODAY()-J5)</f>
        <v/>
      </c>
      <c r="N5" s="6" t="n"/>
      <c r="O5" s="6" t="n"/>
      <c r="P5" s="6" t="n"/>
      <c r="Q5" s="10" t="n"/>
      <c r="R5" s="6" t="n"/>
    </row>
    <row r="6">
      <c r="A6" s="9" t="inlineStr">
        <is>
          <t>FB-005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10" t="n"/>
      <c r="K6" s="6" t="n"/>
      <c r="L6" s="6" t="n"/>
      <c r="M6" s="11">
        <f>IF(J6="","",TODAY()-J6)</f>
        <v/>
      </c>
      <c r="N6" s="6" t="n"/>
      <c r="O6" s="6" t="n"/>
      <c r="P6" s="6" t="n"/>
      <c r="Q6" s="10" t="n"/>
      <c r="R6" s="6" t="n"/>
    </row>
    <row r="7">
      <c r="A7" s="9" t="inlineStr">
        <is>
          <t>FB-006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10" t="n"/>
      <c r="K7" s="6" t="n"/>
      <c r="L7" s="6" t="n"/>
      <c r="M7" s="11">
        <f>IF(J7="","",TODAY()-J7)</f>
        <v/>
      </c>
      <c r="N7" s="6" t="n"/>
      <c r="O7" s="6" t="n"/>
      <c r="P7" s="6" t="n"/>
      <c r="Q7" s="10" t="n"/>
      <c r="R7" s="6" t="n"/>
    </row>
    <row r="8">
      <c r="A8" s="9" t="inlineStr">
        <is>
          <t>FB-007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10" t="n"/>
      <c r="K8" s="6" t="n"/>
      <c r="L8" s="6" t="n"/>
      <c r="M8" s="11">
        <f>IF(J8="","",TODAY()-J8)</f>
        <v/>
      </c>
      <c r="N8" s="6" t="n"/>
      <c r="O8" s="6" t="n"/>
      <c r="P8" s="6" t="n"/>
      <c r="Q8" s="10" t="n"/>
      <c r="R8" s="6" t="n"/>
    </row>
    <row r="9">
      <c r="A9" s="9" t="inlineStr">
        <is>
          <t>FB-008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10" t="n"/>
      <c r="K9" s="6" t="n"/>
      <c r="L9" s="6" t="n"/>
      <c r="M9" s="11">
        <f>IF(J9="","",TODAY()-J9)</f>
        <v/>
      </c>
      <c r="N9" s="6" t="n"/>
      <c r="O9" s="6" t="n"/>
      <c r="P9" s="6" t="n"/>
      <c r="Q9" s="10" t="n"/>
      <c r="R9" s="6" t="n"/>
    </row>
    <row r="10">
      <c r="A10" s="9" t="inlineStr">
        <is>
          <t>FB-009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10" t="n"/>
      <c r="K10" s="6" t="n"/>
      <c r="L10" s="6" t="n"/>
      <c r="M10" s="11">
        <f>IF(J10="","",TODAY()-J10)</f>
        <v/>
      </c>
      <c r="N10" s="6" t="n"/>
      <c r="O10" s="6" t="n"/>
      <c r="P10" s="6" t="n"/>
      <c r="Q10" s="10" t="n"/>
      <c r="R10" s="6" t="n"/>
    </row>
    <row r="11">
      <c r="A11" s="9" t="inlineStr">
        <is>
          <t>FB-010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10" t="n"/>
      <c r="K11" s="6" t="n"/>
      <c r="L11" s="6" t="n"/>
      <c r="M11" s="11">
        <f>IF(J11="","",TODAY()-J11)</f>
        <v/>
      </c>
      <c r="N11" s="6" t="n"/>
      <c r="O11" s="6" t="n"/>
      <c r="P11" s="6" t="n"/>
      <c r="Q11" s="10" t="n"/>
      <c r="R11" s="6" t="n"/>
    </row>
    <row r="12">
      <c r="A12" s="9" t="inlineStr">
        <is>
          <t>FB-011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10" t="n"/>
      <c r="K12" s="6" t="n"/>
      <c r="L12" s="6" t="n"/>
      <c r="M12" s="11">
        <f>IF(J12="","",TODAY()-J12)</f>
        <v/>
      </c>
      <c r="N12" s="6" t="n"/>
      <c r="O12" s="6" t="n"/>
      <c r="P12" s="6" t="n"/>
      <c r="Q12" s="10" t="n"/>
      <c r="R12" s="6" t="n"/>
    </row>
    <row r="13">
      <c r="A13" s="9" t="inlineStr">
        <is>
          <t>FB-012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10" t="n"/>
      <c r="K13" s="6" t="n"/>
      <c r="L13" s="6" t="n"/>
      <c r="M13" s="11">
        <f>IF(J13="","",TODAY()-J13)</f>
        <v/>
      </c>
      <c r="N13" s="6" t="n"/>
      <c r="O13" s="6" t="n"/>
      <c r="P13" s="6" t="n"/>
      <c r="Q13" s="10" t="n"/>
      <c r="R13" s="6" t="n"/>
    </row>
    <row r="14">
      <c r="A14" s="9" t="inlineStr">
        <is>
          <t>FB-013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10" t="n"/>
      <c r="K14" s="6" t="n"/>
      <c r="L14" s="6" t="n"/>
      <c r="M14" s="11">
        <f>IF(J14="","",TODAY()-J14)</f>
        <v/>
      </c>
      <c r="N14" s="6" t="n"/>
      <c r="O14" s="6" t="n"/>
      <c r="P14" s="6" t="n"/>
      <c r="Q14" s="10" t="n"/>
      <c r="R14" s="6" t="n"/>
    </row>
    <row r="15">
      <c r="A15" s="9" t="inlineStr">
        <is>
          <t>FB-014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10" t="n"/>
      <c r="K15" s="6" t="n"/>
      <c r="L15" s="6" t="n"/>
      <c r="M15" s="11">
        <f>IF(J15="","",TODAY()-J15)</f>
        <v/>
      </c>
      <c r="N15" s="6" t="n"/>
      <c r="O15" s="6" t="n"/>
      <c r="P15" s="6" t="n"/>
      <c r="Q15" s="10" t="n"/>
      <c r="R15" s="6" t="n"/>
    </row>
    <row r="16">
      <c r="A16" s="9" t="inlineStr">
        <is>
          <t>FB-015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10" t="n"/>
      <c r="K16" s="6" t="n"/>
      <c r="L16" s="6" t="n"/>
      <c r="M16" s="11">
        <f>IF(J16="","",TODAY()-J16)</f>
        <v/>
      </c>
      <c r="N16" s="6" t="n"/>
      <c r="O16" s="6" t="n"/>
      <c r="P16" s="6" t="n"/>
      <c r="Q16" s="10" t="n"/>
      <c r="R16" s="6" t="n"/>
    </row>
    <row r="17">
      <c r="A17" s="9" t="inlineStr">
        <is>
          <t>FB-016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10" t="n"/>
      <c r="K17" s="6" t="n"/>
      <c r="L17" s="6" t="n"/>
      <c r="M17" s="11">
        <f>IF(J17="","",TODAY()-J17)</f>
        <v/>
      </c>
      <c r="N17" s="6" t="n"/>
      <c r="O17" s="6" t="n"/>
      <c r="P17" s="6" t="n"/>
      <c r="Q17" s="10" t="n"/>
      <c r="R17" s="6" t="n"/>
    </row>
    <row r="18">
      <c r="A18" s="9" t="inlineStr">
        <is>
          <t>FB-017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10" t="n"/>
      <c r="K18" s="6" t="n"/>
      <c r="L18" s="6" t="n"/>
      <c r="M18" s="11">
        <f>IF(J18="","",TODAY()-J18)</f>
        <v/>
      </c>
      <c r="N18" s="6" t="n"/>
      <c r="O18" s="6" t="n"/>
      <c r="P18" s="6" t="n"/>
      <c r="Q18" s="10" t="n"/>
      <c r="R18" s="6" t="n"/>
    </row>
    <row r="19">
      <c r="A19" s="9" t="inlineStr">
        <is>
          <t>FB-018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10" t="n"/>
      <c r="K19" s="6" t="n"/>
      <c r="L19" s="6" t="n"/>
      <c r="M19" s="11">
        <f>IF(J19="","",TODAY()-J19)</f>
        <v/>
      </c>
      <c r="N19" s="6" t="n"/>
      <c r="O19" s="6" t="n"/>
      <c r="P19" s="6" t="n"/>
      <c r="Q19" s="10" t="n"/>
      <c r="R19" s="6" t="n"/>
    </row>
    <row r="20">
      <c r="A20" s="9" t="inlineStr">
        <is>
          <t>FB-019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10" t="n"/>
      <c r="K20" s="6" t="n"/>
      <c r="L20" s="6" t="n"/>
      <c r="M20" s="11">
        <f>IF(J20="","",TODAY()-J20)</f>
        <v/>
      </c>
      <c r="N20" s="6" t="n"/>
      <c r="O20" s="6" t="n"/>
      <c r="P20" s="6" t="n"/>
      <c r="Q20" s="10" t="n"/>
      <c r="R20" s="6" t="n"/>
    </row>
    <row r="21">
      <c r="A21" s="9" t="inlineStr">
        <is>
          <t>FB-020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10" t="n"/>
      <c r="K21" s="6" t="n"/>
      <c r="L21" s="6" t="n"/>
      <c r="M21" s="11">
        <f>IF(J21="","",TODAY()-J21)</f>
        <v/>
      </c>
      <c r="N21" s="6" t="n"/>
      <c r="O21" s="6" t="n"/>
      <c r="P21" s="6" t="n"/>
      <c r="Q21" s="10" t="n"/>
      <c r="R21" s="6" t="n"/>
    </row>
    <row r="22">
      <c r="A22" s="9" t="inlineStr">
        <is>
          <t>FB-021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10" t="n"/>
      <c r="K22" s="6" t="n"/>
      <c r="L22" s="6" t="n"/>
      <c r="M22" s="11">
        <f>IF(J22="","",TODAY()-J22)</f>
        <v/>
      </c>
      <c r="N22" s="6" t="n"/>
      <c r="O22" s="6" t="n"/>
      <c r="P22" s="6" t="n"/>
      <c r="Q22" s="10" t="n"/>
      <c r="R22" s="6" t="n"/>
    </row>
    <row r="23">
      <c r="A23" s="9" t="inlineStr">
        <is>
          <t>FB-022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10" t="n"/>
      <c r="K23" s="6" t="n"/>
      <c r="L23" s="6" t="n"/>
      <c r="M23" s="11">
        <f>IF(J23="","",TODAY()-J23)</f>
        <v/>
      </c>
      <c r="N23" s="6" t="n"/>
      <c r="O23" s="6" t="n"/>
      <c r="P23" s="6" t="n"/>
      <c r="Q23" s="10" t="n"/>
      <c r="R23" s="6" t="n"/>
    </row>
    <row r="24">
      <c r="A24" s="9" t="inlineStr">
        <is>
          <t>FB-023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10" t="n"/>
      <c r="K24" s="6" t="n"/>
      <c r="L24" s="6" t="n"/>
      <c r="M24" s="11">
        <f>IF(J24="","",TODAY()-J24)</f>
        <v/>
      </c>
      <c r="N24" s="6" t="n"/>
      <c r="O24" s="6" t="n"/>
      <c r="P24" s="6" t="n"/>
      <c r="Q24" s="10" t="n"/>
      <c r="R24" s="6" t="n"/>
    </row>
    <row r="25">
      <c r="A25" s="9" t="inlineStr">
        <is>
          <t>FB-024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10" t="n"/>
      <c r="K25" s="6" t="n"/>
      <c r="L25" s="6" t="n"/>
      <c r="M25" s="11">
        <f>IF(J25="","",TODAY()-J25)</f>
        <v/>
      </c>
      <c r="N25" s="6" t="n"/>
      <c r="O25" s="6" t="n"/>
      <c r="P25" s="6" t="n"/>
      <c r="Q25" s="10" t="n"/>
      <c r="R25" s="6" t="n"/>
    </row>
    <row r="26">
      <c r="A26" s="9" t="inlineStr">
        <is>
          <t>FB-025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10" t="n"/>
      <c r="K26" s="6" t="n"/>
      <c r="L26" s="6" t="n"/>
      <c r="M26" s="11">
        <f>IF(J26="","",TODAY()-J26)</f>
        <v/>
      </c>
      <c r="N26" s="6" t="n"/>
      <c r="O26" s="6" t="n"/>
      <c r="P26" s="6" t="n"/>
      <c r="Q26" s="10" t="n"/>
      <c r="R26" s="6" t="n"/>
    </row>
    <row r="27">
      <c r="A27" s="9" t="inlineStr">
        <is>
          <t>FB-026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10" t="n"/>
      <c r="K27" s="6" t="n"/>
      <c r="L27" s="6" t="n"/>
      <c r="M27" s="11">
        <f>IF(J27="","",TODAY()-J27)</f>
        <v/>
      </c>
      <c r="N27" s="6" t="n"/>
      <c r="O27" s="6" t="n"/>
      <c r="P27" s="6" t="n"/>
      <c r="Q27" s="10" t="n"/>
      <c r="R27" s="6" t="n"/>
    </row>
    <row r="28">
      <c r="A28" s="9" t="inlineStr">
        <is>
          <t>FB-027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10" t="n"/>
      <c r="K28" s="6" t="n"/>
      <c r="L28" s="6" t="n"/>
      <c r="M28" s="11">
        <f>IF(J28="","",TODAY()-J28)</f>
        <v/>
      </c>
      <c r="N28" s="6" t="n"/>
      <c r="O28" s="6" t="n"/>
      <c r="P28" s="6" t="n"/>
      <c r="Q28" s="10" t="n"/>
      <c r="R28" s="6" t="n"/>
    </row>
    <row r="29">
      <c r="A29" s="9" t="inlineStr">
        <is>
          <t>FB-028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10" t="n"/>
      <c r="K29" s="6" t="n"/>
      <c r="L29" s="6" t="n"/>
      <c r="M29" s="11">
        <f>IF(J29="","",TODAY()-J29)</f>
        <v/>
      </c>
      <c r="N29" s="6" t="n"/>
      <c r="O29" s="6" t="n"/>
      <c r="P29" s="6" t="n"/>
      <c r="Q29" s="10" t="n"/>
      <c r="R29" s="6" t="n"/>
    </row>
    <row r="30">
      <c r="A30" s="9" t="inlineStr">
        <is>
          <t>FB-029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10" t="n"/>
      <c r="K30" s="6" t="n"/>
      <c r="L30" s="6" t="n"/>
      <c r="M30" s="11">
        <f>IF(J30="","",TODAY()-J30)</f>
        <v/>
      </c>
      <c r="N30" s="6" t="n"/>
      <c r="O30" s="6" t="n"/>
      <c r="P30" s="6" t="n"/>
      <c r="Q30" s="10" t="n"/>
      <c r="R30" s="6" t="n"/>
    </row>
    <row r="31">
      <c r="A31" s="9" t="inlineStr">
        <is>
          <t>FB-030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10" t="n"/>
      <c r="K31" s="6" t="n"/>
      <c r="L31" s="6" t="n"/>
      <c r="M31" s="11">
        <f>IF(J31="","",TODAY()-J31)</f>
        <v/>
      </c>
      <c r="N31" s="6" t="n"/>
      <c r="O31" s="6" t="n"/>
      <c r="P31" s="6" t="n"/>
      <c r="Q31" s="10" t="n"/>
      <c r="R31" s="6" t="n"/>
    </row>
    <row r="32">
      <c r="A32" s="9" t="inlineStr">
        <is>
          <t>FB-031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10" t="n"/>
      <c r="K32" s="6" t="n"/>
      <c r="L32" s="6" t="n"/>
      <c r="M32" s="11">
        <f>IF(J32="","",TODAY()-J32)</f>
        <v/>
      </c>
      <c r="N32" s="6" t="n"/>
      <c r="O32" s="6" t="n"/>
      <c r="P32" s="6" t="n"/>
      <c r="Q32" s="10" t="n"/>
      <c r="R32" s="6" t="n"/>
    </row>
    <row r="33">
      <c r="A33" s="9" t="inlineStr">
        <is>
          <t>FB-032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10" t="n"/>
      <c r="K33" s="6" t="n"/>
      <c r="L33" s="6" t="n"/>
      <c r="M33" s="11">
        <f>IF(J33="","",TODAY()-J33)</f>
        <v/>
      </c>
      <c r="N33" s="6" t="n"/>
      <c r="O33" s="6" t="n"/>
      <c r="P33" s="6" t="n"/>
      <c r="Q33" s="10" t="n"/>
      <c r="R33" s="6" t="n"/>
    </row>
    <row r="34">
      <c r="A34" s="9" t="inlineStr">
        <is>
          <t>FB-033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10" t="n"/>
      <c r="K34" s="6" t="n"/>
      <c r="L34" s="6" t="n"/>
      <c r="M34" s="11">
        <f>IF(J34="","",TODAY()-J34)</f>
        <v/>
      </c>
      <c r="N34" s="6" t="n"/>
      <c r="O34" s="6" t="n"/>
      <c r="P34" s="6" t="n"/>
      <c r="Q34" s="10" t="n"/>
      <c r="R34" s="6" t="n"/>
    </row>
    <row r="35">
      <c r="A35" s="9" t="inlineStr">
        <is>
          <t>FB-034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10" t="n"/>
      <c r="K35" s="6" t="n"/>
      <c r="L35" s="6" t="n"/>
      <c r="M35" s="11">
        <f>IF(J35="","",TODAY()-J35)</f>
        <v/>
      </c>
      <c r="N35" s="6" t="n"/>
      <c r="O35" s="6" t="n"/>
      <c r="P35" s="6" t="n"/>
      <c r="Q35" s="10" t="n"/>
      <c r="R35" s="6" t="n"/>
    </row>
    <row r="36">
      <c r="A36" s="9" t="inlineStr">
        <is>
          <t>FB-035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10" t="n"/>
      <c r="K36" s="6" t="n"/>
      <c r="L36" s="6" t="n"/>
      <c r="M36" s="11">
        <f>IF(J36="","",TODAY()-J36)</f>
        <v/>
      </c>
      <c r="N36" s="6" t="n"/>
      <c r="O36" s="6" t="n"/>
      <c r="P36" s="6" t="n"/>
      <c r="Q36" s="10" t="n"/>
      <c r="R36" s="6" t="n"/>
    </row>
    <row r="37">
      <c r="A37" s="9" t="inlineStr">
        <is>
          <t>FB-036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10" t="n"/>
      <c r="K37" s="6" t="n"/>
      <c r="L37" s="6" t="n"/>
      <c r="M37" s="11">
        <f>IF(J37="","",TODAY()-J37)</f>
        <v/>
      </c>
      <c r="N37" s="6" t="n"/>
      <c r="O37" s="6" t="n"/>
      <c r="P37" s="6" t="n"/>
      <c r="Q37" s="10" t="n"/>
      <c r="R37" s="6" t="n"/>
    </row>
    <row r="38">
      <c r="A38" s="9" t="inlineStr">
        <is>
          <t>FB-037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10" t="n"/>
      <c r="K38" s="6" t="n"/>
      <c r="L38" s="6" t="n"/>
      <c r="M38" s="11">
        <f>IF(J38="","",TODAY()-J38)</f>
        <v/>
      </c>
      <c r="N38" s="6" t="n"/>
      <c r="O38" s="6" t="n"/>
      <c r="P38" s="6" t="n"/>
      <c r="Q38" s="10" t="n"/>
      <c r="R38" s="6" t="n"/>
    </row>
    <row r="39">
      <c r="A39" s="9" t="inlineStr">
        <is>
          <t>FB-038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10" t="n"/>
      <c r="K39" s="6" t="n"/>
      <c r="L39" s="6" t="n"/>
      <c r="M39" s="11">
        <f>IF(J39="","",TODAY()-J39)</f>
        <v/>
      </c>
      <c r="N39" s="6" t="n"/>
      <c r="O39" s="6" t="n"/>
      <c r="P39" s="6" t="n"/>
      <c r="Q39" s="10" t="n"/>
      <c r="R39" s="6" t="n"/>
    </row>
    <row r="40">
      <c r="A40" s="9" t="inlineStr">
        <is>
          <t>FB-039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10" t="n"/>
      <c r="K40" s="6" t="n"/>
      <c r="L40" s="6" t="n"/>
      <c r="M40" s="11">
        <f>IF(J40="","",TODAY()-J40)</f>
        <v/>
      </c>
      <c r="N40" s="6" t="n"/>
      <c r="O40" s="6" t="n"/>
      <c r="P40" s="6" t="n"/>
      <c r="Q40" s="10" t="n"/>
      <c r="R40" s="6" t="n"/>
    </row>
    <row r="41">
      <c r="A41" s="9" t="inlineStr">
        <is>
          <t>FB-040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10" t="n"/>
      <c r="K41" s="6" t="n"/>
      <c r="L41" s="6" t="n"/>
      <c r="M41" s="11">
        <f>IF(J41="","",TODAY()-J41)</f>
        <v/>
      </c>
      <c r="N41" s="6" t="n"/>
      <c r="O41" s="6" t="n"/>
      <c r="P41" s="6" t="n"/>
      <c r="Q41" s="10" t="n"/>
      <c r="R41" s="6" t="n"/>
    </row>
    <row r="42">
      <c r="A42" s="9" t="inlineStr">
        <is>
          <t>FB-041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10" t="n"/>
      <c r="K42" s="6" t="n"/>
      <c r="L42" s="6" t="n"/>
      <c r="M42" s="11">
        <f>IF(J42="","",TODAY()-J42)</f>
        <v/>
      </c>
      <c r="N42" s="6" t="n"/>
      <c r="O42" s="6" t="n"/>
      <c r="P42" s="6" t="n"/>
      <c r="Q42" s="10" t="n"/>
      <c r="R42" s="6" t="n"/>
    </row>
    <row r="43">
      <c r="A43" s="9" t="inlineStr">
        <is>
          <t>FB-042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10" t="n"/>
      <c r="K43" s="6" t="n"/>
      <c r="L43" s="6" t="n"/>
      <c r="M43" s="11">
        <f>IF(J43="","",TODAY()-J43)</f>
        <v/>
      </c>
      <c r="N43" s="6" t="n"/>
      <c r="O43" s="6" t="n"/>
      <c r="P43" s="6" t="n"/>
      <c r="Q43" s="10" t="n"/>
      <c r="R43" s="6" t="n"/>
    </row>
    <row r="44">
      <c r="A44" s="9" t="inlineStr">
        <is>
          <t>FB-043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10" t="n"/>
      <c r="K44" s="6" t="n"/>
      <c r="L44" s="6" t="n"/>
      <c r="M44" s="11">
        <f>IF(J44="","",TODAY()-J44)</f>
        <v/>
      </c>
      <c r="N44" s="6" t="n"/>
      <c r="O44" s="6" t="n"/>
      <c r="P44" s="6" t="n"/>
      <c r="Q44" s="10" t="n"/>
      <c r="R44" s="6" t="n"/>
    </row>
    <row r="45">
      <c r="A45" s="9" t="inlineStr">
        <is>
          <t>FB-044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10" t="n"/>
      <c r="K45" s="6" t="n"/>
      <c r="L45" s="6" t="n"/>
      <c r="M45" s="11">
        <f>IF(J45="","",TODAY()-J45)</f>
        <v/>
      </c>
      <c r="N45" s="6" t="n"/>
      <c r="O45" s="6" t="n"/>
      <c r="P45" s="6" t="n"/>
      <c r="Q45" s="10" t="n"/>
      <c r="R45" s="6" t="n"/>
    </row>
    <row r="46">
      <c r="A46" s="9" t="inlineStr">
        <is>
          <t>FB-045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10" t="n"/>
      <c r="K46" s="6" t="n"/>
      <c r="L46" s="6" t="n"/>
      <c r="M46" s="11">
        <f>IF(J46="","",TODAY()-J46)</f>
        <v/>
      </c>
      <c r="N46" s="6" t="n"/>
      <c r="O46" s="6" t="n"/>
      <c r="P46" s="6" t="n"/>
      <c r="Q46" s="10" t="n"/>
      <c r="R46" s="6" t="n"/>
    </row>
    <row r="47">
      <c r="A47" s="9" t="inlineStr">
        <is>
          <t>FB-046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10" t="n"/>
      <c r="K47" s="6" t="n"/>
      <c r="L47" s="6" t="n"/>
      <c r="M47" s="11">
        <f>IF(J47="","",TODAY()-J47)</f>
        <v/>
      </c>
      <c r="N47" s="6" t="n"/>
      <c r="O47" s="6" t="n"/>
      <c r="P47" s="6" t="n"/>
      <c r="Q47" s="10" t="n"/>
      <c r="R47" s="6" t="n"/>
    </row>
    <row r="48">
      <c r="A48" s="9" t="inlineStr">
        <is>
          <t>FB-047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10" t="n"/>
      <c r="K48" s="6" t="n"/>
      <c r="L48" s="6" t="n"/>
      <c r="M48" s="11">
        <f>IF(J48="","",TODAY()-J48)</f>
        <v/>
      </c>
      <c r="N48" s="6" t="n"/>
      <c r="O48" s="6" t="n"/>
      <c r="P48" s="6" t="n"/>
      <c r="Q48" s="10" t="n"/>
      <c r="R48" s="6" t="n"/>
    </row>
    <row r="49">
      <c r="A49" s="9" t="inlineStr">
        <is>
          <t>FB-048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10" t="n"/>
      <c r="K49" s="6" t="n"/>
      <c r="L49" s="6" t="n"/>
      <c r="M49" s="11">
        <f>IF(J49="","",TODAY()-J49)</f>
        <v/>
      </c>
      <c r="N49" s="6" t="n"/>
      <c r="O49" s="6" t="n"/>
      <c r="P49" s="6" t="n"/>
      <c r="Q49" s="10" t="n"/>
      <c r="R49" s="6" t="n"/>
    </row>
    <row r="50">
      <c r="A50" s="9" t="inlineStr">
        <is>
          <t>FB-049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10" t="n"/>
      <c r="K50" s="6" t="n"/>
      <c r="L50" s="6" t="n"/>
      <c r="M50" s="11">
        <f>IF(J50="","",TODAY()-J50)</f>
        <v/>
      </c>
      <c r="N50" s="6" t="n"/>
      <c r="O50" s="6" t="n"/>
      <c r="P50" s="6" t="n"/>
      <c r="Q50" s="10" t="n"/>
      <c r="R50" s="6" t="n"/>
    </row>
    <row r="51">
      <c r="A51" s="9" t="inlineStr">
        <is>
          <t>FB-050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10" t="n"/>
      <c r="K51" s="6" t="n"/>
      <c r="L51" s="6" t="n"/>
      <c r="M51" s="11">
        <f>IF(J51="","",TODAY()-J51)</f>
        <v/>
      </c>
      <c r="N51" s="6" t="n"/>
      <c r="O51" s="6" t="n"/>
      <c r="P51" s="6" t="n"/>
      <c r="Q51" s="10" t="n"/>
      <c r="R51" s="6" t="n"/>
    </row>
    <row r="52">
      <c r="A52" s="9" t="inlineStr">
        <is>
          <t>FB-051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10" t="n"/>
      <c r="K52" s="6" t="n"/>
      <c r="L52" s="6" t="n"/>
      <c r="M52" s="11">
        <f>IF(J52="","",TODAY()-J52)</f>
        <v/>
      </c>
      <c r="N52" s="6" t="n"/>
      <c r="O52" s="6" t="n"/>
      <c r="P52" s="6" t="n"/>
      <c r="Q52" s="10" t="n"/>
      <c r="R52" s="6" t="n"/>
    </row>
    <row r="53">
      <c r="A53" s="9" t="inlineStr">
        <is>
          <t>FB-052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10" t="n"/>
      <c r="K53" s="6" t="n"/>
      <c r="L53" s="6" t="n"/>
      <c r="M53" s="11">
        <f>IF(J53="","",TODAY()-J53)</f>
        <v/>
      </c>
      <c r="N53" s="6" t="n"/>
      <c r="O53" s="6" t="n"/>
      <c r="P53" s="6" t="n"/>
      <c r="Q53" s="10" t="n"/>
      <c r="R53" s="6" t="n"/>
    </row>
    <row r="54">
      <c r="A54" s="9" t="inlineStr">
        <is>
          <t>FB-053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10" t="n"/>
      <c r="K54" s="6" t="n"/>
      <c r="L54" s="6" t="n"/>
      <c r="M54" s="11">
        <f>IF(J54="","",TODAY()-J54)</f>
        <v/>
      </c>
      <c r="N54" s="6" t="n"/>
      <c r="O54" s="6" t="n"/>
      <c r="P54" s="6" t="n"/>
      <c r="Q54" s="10" t="n"/>
      <c r="R54" s="6" t="n"/>
    </row>
    <row r="55">
      <c r="A55" s="9" t="inlineStr">
        <is>
          <t>FB-054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10" t="n"/>
      <c r="K55" s="6" t="n"/>
      <c r="L55" s="6" t="n"/>
      <c r="M55" s="11">
        <f>IF(J55="","",TODAY()-J55)</f>
        <v/>
      </c>
      <c r="N55" s="6" t="n"/>
      <c r="O55" s="6" t="n"/>
      <c r="P55" s="6" t="n"/>
      <c r="Q55" s="10" t="n"/>
      <c r="R55" s="6" t="n"/>
    </row>
    <row r="56">
      <c r="A56" s="9" t="inlineStr">
        <is>
          <t>FB-055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10" t="n"/>
      <c r="K56" s="6" t="n"/>
      <c r="L56" s="6" t="n"/>
      <c r="M56" s="11">
        <f>IF(J56="","",TODAY()-J56)</f>
        <v/>
      </c>
      <c r="N56" s="6" t="n"/>
      <c r="O56" s="6" t="n"/>
      <c r="P56" s="6" t="n"/>
      <c r="Q56" s="10" t="n"/>
      <c r="R56" s="6" t="n"/>
    </row>
    <row r="57">
      <c r="A57" s="9" t="inlineStr">
        <is>
          <t>FB-056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10" t="n"/>
      <c r="K57" s="6" t="n"/>
      <c r="L57" s="6" t="n"/>
      <c r="M57" s="11">
        <f>IF(J57="","",TODAY()-J57)</f>
        <v/>
      </c>
      <c r="N57" s="6" t="n"/>
      <c r="O57" s="6" t="n"/>
      <c r="P57" s="6" t="n"/>
      <c r="Q57" s="10" t="n"/>
      <c r="R57" s="6" t="n"/>
    </row>
    <row r="58">
      <c r="A58" s="9" t="inlineStr">
        <is>
          <t>FB-057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10" t="n"/>
      <c r="K58" s="6" t="n"/>
      <c r="L58" s="6" t="n"/>
      <c r="M58" s="11">
        <f>IF(J58="","",TODAY()-J58)</f>
        <v/>
      </c>
      <c r="N58" s="6" t="n"/>
      <c r="O58" s="6" t="n"/>
      <c r="P58" s="6" t="n"/>
      <c r="Q58" s="10" t="n"/>
      <c r="R58" s="6" t="n"/>
    </row>
    <row r="59">
      <c r="A59" s="9" t="inlineStr">
        <is>
          <t>FB-058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10" t="n"/>
      <c r="K59" s="6" t="n"/>
      <c r="L59" s="6" t="n"/>
      <c r="M59" s="11">
        <f>IF(J59="","",TODAY()-J59)</f>
        <v/>
      </c>
      <c r="N59" s="6" t="n"/>
      <c r="O59" s="6" t="n"/>
      <c r="P59" s="6" t="n"/>
      <c r="Q59" s="10" t="n"/>
      <c r="R59" s="6" t="n"/>
    </row>
    <row r="60">
      <c r="A60" s="9" t="inlineStr">
        <is>
          <t>FB-059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10" t="n"/>
      <c r="K60" s="6" t="n"/>
      <c r="L60" s="6" t="n"/>
      <c r="M60" s="11">
        <f>IF(J60="","",TODAY()-J60)</f>
        <v/>
      </c>
      <c r="N60" s="6" t="n"/>
      <c r="O60" s="6" t="n"/>
      <c r="P60" s="6" t="n"/>
      <c r="Q60" s="10" t="n"/>
      <c r="R60" s="6" t="n"/>
    </row>
    <row r="61">
      <c r="A61" s="9" t="inlineStr">
        <is>
          <t>FB-060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10" t="n"/>
      <c r="K61" s="6" t="n"/>
      <c r="L61" s="6" t="n"/>
      <c r="M61" s="11">
        <f>IF(J61="","",TODAY()-J61)</f>
        <v/>
      </c>
      <c r="N61" s="6" t="n"/>
      <c r="O61" s="6" t="n"/>
      <c r="P61" s="6" t="n"/>
      <c r="Q61" s="10" t="n"/>
      <c r="R61" s="6" t="n"/>
    </row>
    <row r="62">
      <c r="A62" s="9" t="inlineStr">
        <is>
          <t>FB-061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10" t="n"/>
      <c r="K62" s="6" t="n"/>
      <c r="L62" s="6" t="n"/>
      <c r="M62" s="11">
        <f>IF(J62="","",TODAY()-J62)</f>
        <v/>
      </c>
      <c r="N62" s="6" t="n"/>
      <c r="O62" s="6" t="n"/>
      <c r="P62" s="6" t="n"/>
      <c r="Q62" s="10" t="n"/>
      <c r="R62" s="6" t="n"/>
    </row>
    <row r="63">
      <c r="A63" s="9" t="inlineStr">
        <is>
          <t>FB-062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10" t="n"/>
      <c r="K63" s="6" t="n"/>
      <c r="L63" s="6" t="n"/>
      <c r="M63" s="11">
        <f>IF(J63="","",TODAY()-J63)</f>
        <v/>
      </c>
      <c r="N63" s="6" t="n"/>
      <c r="O63" s="6" t="n"/>
      <c r="P63" s="6" t="n"/>
      <c r="Q63" s="10" t="n"/>
      <c r="R63" s="6" t="n"/>
    </row>
    <row r="64">
      <c r="A64" s="9" t="inlineStr">
        <is>
          <t>FB-063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10" t="n"/>
      <c r="K64" s="6" t="n"/>
      <c r="L64" s="6" t="n"/>
      <c r="M64" s="11">
        <f>IF(J64="","",TODAY()-J64)</f>
        <v/>
      </c>
      <c r="N64" s="6" t="n"/>
      <c r="O64" s="6" t="n"/>
      <c r="P64" s="6" t="n"/>
      <c r="Q64" s="10" t="n"/>
      <c r="R64" s="6" t="n"/>
    </row>
    <row r="65">
      <c r="A65" s="9" t="inlineStr">
        <is>
          <t>FB-064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10" t="n"/>
      <c r="K65" s="6" t="n"/>
      <c r="L65" s="6" t="n"/>
      <c r="M65" s="11">
        <f>IF(J65="","",TODAY()-J65)</f>
        <v/>
      </c>
      <c r="N65" s="6" t="n"/>
      <c r="O65" s="6" t="n"/>
      <c r="P65" s="6" t="n"/>
      <c r="Q65" s="10" t="n"/>
      <c r="R65" s="6" t="n"/>
    </row>
    <row r="66">
      <c r="A66" s="9" t="inlineStr">
        <is>
          <t>FB-065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10" t="n"/>
      <c r="K66" s="6" t="n"/>
      <c r="L66" s="6" t="n"/>
      <c r="M66" s="11">
        <f>IF(J66="","",TODAY()-J66)</f>
        <v/>
      </c>
      <c r="N66" s="6" t="n"/>
      <c r="O66" s="6" t="n"/>
      <c r="P66" s="6" t="n"/>
      <c r="Q66" s="10" t="n"/>
      <c r="R66" s="6" t="n"/>
    </row>
    <row r="67">
      <c r="A67" s="9" t="inlineStr">
        <is>
          <t>FB-066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10" t="n"/>
      <c r="K67" s="6" t="n"/>
      <c r="L67" s="6" t="n"/>
      <c r="M67" s="11">
        <f>IF(J67="","",TODAY()-J67)</f>
        <v/>
      </c>
      <c r="N67" s="6" t="n"/>
      <c r="O67" s="6" t="n"/>
      <c r="P67" s="6" t="n"/>
      <c r="Q67" s="10" t="n"/>
      <c r="R67" s="6" t="n"/>
    </row>
    <row r="68">
      <c r="A68" s="9" t="inlineStr">
        <is>
          <t>FB-067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10" t="n"/>
      <c r="K68" s="6" t="n"/>
      <c r="L68" s="6" t="n"/>
      <c r="M68" s="11">
        <f>IF(J68="","",TODAY()-J68)</f>
        <v/>
      </c>
      <c r="N68" s="6" t="n"/>
      <c r="O68" s="6" t="n"/>
      <c r="P68" s="6" t="n"/>
      <c r="Q68" s="10" t="n"/>
      <c r="R68" s="6" t="n"/>
    </row>
    <row r="69">
      <c r="A69" s="9" t="inlineStr">
        <is>
          <t>FB-068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10" t="n"/>
      <c r="K69" s="6" t="n"/>
      <c r="L69" s="6" t="n"/>
      <c r="M69" s="11">
        <f>IF(J69="","",TODAY()-J69)</f>
        <v/>
      </c>
      <c r="N69" s="6" t="n"/>
      <c r="O69" s="6" t="n"/>
      <c r="P69" s="6" t="n"/>
      <c r="Q69" s="10" t="n"/>
      <c r="R69" s="6" t="n"/>
    </row>
    <row r="70">
      <c r="A70" s="9" t="inlineStr">
        <is>
          <t>FB-069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10" t="n"/>
      <c r="K70" s="6" t="n"/>
      <c r="L70" s="6" t="n"/>
      <c r="M70" s="11">
        <f>IF(J70="","",TODAY()-J70)</f>
        <v/>
      </c>
      <c r="N70" s="6" t="n"/>
      <c r="O70" s="6" t="n"/>
      <c r="P70" s="6" t="n"/>
      <c r="Q70" s="10" t="n"/>
      <c r="R70" s="6" t="n"/>
    </row>
    <row r="71">
      <c r="A71" s="9" t="inlineStr">
        <is>
          <t>FB-070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10" t="n"/>
      <c r="K71" s="6" t="n"/>
      <c r="L71" s="6" t="n"/>
      <c r="M71" s="11">
        <f>IF(J71="","",TODAY()-J71)</f>
        <v/>
      </c>
      <c r="N71" s="6" t="n"/>
      <c r="O71" s="6" t="n"/>
      <c r="P71" s="6" t="n"/>
      <c r="Q71" s="10" t="n"/>
      <c r="R71" s="6" t="n"/>
    </row>
    <row r="72">
      <c r="A72" s="9" t="inlineStr">
        <is>
          <t>FB-071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10" t="n"/>
      <c r="K72" s="6" t="n"/>
      <c r="L72" s="6" t="n"/>
      <c r="M72" s="11">
        <f>IF(J72="","",TODAY()-J72)</f>
        <v/>
      </c>
      <c r="N72" s="6" t="n"/>
      <c r="O72" s="6" t="n"/>
      <c r="P72" s="6" t="n"/>
      <c r="Q72" s="10" t="n"/>
      <c r="R72" s="6" t="n"/>
    </row>
    <row r="73">
      <c r="A73" s="9" t="inlineStr">
        <is>
          <t>FB-072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10" t="n"/>
      <c r="K73" s="6" t="n"/>
      <c r="L73" s="6" t="n"/>
      <c r="M73" s="11">
        <f>IF(J73="","",TODAY()-J73)</f>
        <v/>
      </c>
      <c r="N73" s="6" t="n"/>
      <c r="O73" s="6" t="n"/>
      <c r="P73" s="6" t="n"/>
      <c r="Q73" s="10" t="n"/>
      <c r="R73" s="6" t="n"/>
    </row>
    <row r="74">
      <c r="A74" s="9" t="inlineStr">
        <is>
          <t>FB-073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10" t="n"/>
      <c r="K74" s="6" t="n"/>
      <c r="L74" s="6" t="n"/>
      <c r="M74" s="11">
        <f>IF(J74="","",TODAY()-J74)</f>
        <v/>
      </c>
      <c r="N74" s="6" t="n"/>
      <c r="O74" s="6" t="n"/>
      <c r="P74" s="6" t="n"/>
      <c r="Q74" s="10" t="n"/>
      <c r="R74" s="6" t="n"/>
    </row>
    <row r="75">
      <c r="A75" s="9" t="inlineStr">
        <is>
          <t>FB-074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10" t="n"/>
      <c r="K75" s="6" t="n"/>
      <c r="L75" s="6" t="n"/>
      <c r="M75" s="11">
        <f>IF(J75="","",TODAY()-J75)</f>
        <v/>
      </c>
      <c r="N75" s="6" t="n"/>
      <c r="O75" s="6" t="n"/>
      <c r="P75" s="6" t="n"/>
      <c r="Q75" s="10" t="n"/>
      <c r="R75" s="6" t="n"/>
    </row>
    <row r="76">
      <c r="A76" s="9" t="inlineStr">
        <is>
          <t>FB-075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10" t="n"/>
      <c r="K76" s="6" t="n"/>
      <c r="L76" s="6" t="n"/>
      <c r="M76" s="11">
        <f>IF(J76="","",TODAY()-J76)</f>
        <v/>
      </c>
      <c r="N76" s="6" t="n"/>
      <c r="O76" s="6" t="n"/>
      <c r="P76" s="6" t="n"/>
      <c r="Q76" s="10" t="n"/>
      <c r="R76" s="6" t="n"/>
    </row>
    <row r="77">
      <c r="A77" s="9" t="inlineStr">
        <is>
          <t>FB-076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10" t="n"/>
      <c r="K77" s="6" t="n"/>
      <c r="L77" s="6" t="n"/>
      <c r="M77" s="11">
        <f>IF(J77="","",TODAY()-J77)</f>
        <v/>
      </c>
      <c r="N77" s="6" t="n"/>
      <c r="O77" s="6" t="n"/>
      <c r="P77" s="6" t="n"/>
      <c r="Q77" s="10" t="n"/>
      <c r="R77" s="6" t="n"/>
    </row>
    <row r="78">
      <c r="A78" s="9" t="inlineStr">
        <is>
          <t>FB-077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10" t="n"/>
      <c r="K78" s="6" t="n"/>
      <c r="L78" s="6" t="n"/>
      <c r="M78" s="11">
        <f>IF(J78="","",TODAY()-J78)</f>
        <v/>
      </c>
      <c r="N78" s="6" t="n"/>
      <c r="O78" s="6" t="n"/>
      <c r="P78" s="6" t="n"/>
      <c r="Q78" s="10" t="n"/>
      <c r="R78" s="6" t="n"/>
    </row>
    <row r="79">
      <c r="A79" s="9" t="inlineStr">
        <is>
          <t>FB-078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10" t="n"/>
      <c r="K79" s="6" t="n"/>
      <c r="L79" s="6" t="n"/>
      <c r="M79" s="11">
        <f>IF(J79="","",TODAY()-J79)</f>
        <v/>
      </c>
      <c r="N79" s="6" t="n"/>
      <c r="O79" s="6" t="n"/>
      <c r="P79" s="6" t="n"/>
      <c r="Q79" s="10" t="n"/>
      <c r="R79" s="6" t="n"/>
    </row>
    <row r="80">
      <c r="A80" s="9" t="inlineStr">
        <is>
          <t>FB-079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10" t="n"/>
      <c r="K80" s="6" t="n"/>
      <c r="L80" s="6" t="n"/>
      <c r="M80" s="11">
        <f>IF(J80="","",TODAY()-J80)</f>
        <v/>
      </c>
      <c r="N80" s="6" t="n"/>
      <c r="O80" s="6" t="n"/>
      <c r="P80" s="6" t="n"/>
      <c r="Q80" s="10" t="n"/>
      <c r="R80" s="6" t="n"/>
    </row>
    <row r="81">
      <c r="A81" s="9" t="inlineStr">
        <is>
          <t>FB-080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10" t="n"/>
      <c r="K81" s="6" t="n"/>
      <c r="L81" s="6" t="n"/>
      <c r="M81" s="11">
        <f>IF(J81="","",TODAY()-J81)</f>
        <v/>
      </c>
      <c r="N81" s="6" t="n"/>
      <c r="O81" s="6" t="n"/>
      <c r="P81" s="6" t="n"/>
      <c r="Q81" s="10" t="n"/>
      <c r="R81" s="6" t="n"/>
    </row>
    <row r="82">
      <c r="A82" s="9" t="inlineStr">
        <is>
          <t>FB-081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10" t="n"/>
      <c r="K82" s="6" t="n"/>
      <c r="L82" s="6" t="n"/>
      <c r="M82" s="11">
        <f>IF(J82="","",TODAY()-J82)</f>
        <v/>
      </c>
      <c r="N82" s="6" t="n"/>
      <c r="O82" s="6" t="n"/>
      <c r="P82" s="6" t="n"/>
      <c r="Q82" s="10" t="n"/>
      <c r="R82" s="6" t="n"/>
    </row>
    <row r="83">
      <c r="A83" s="9" t="inlineStr">
        <is>
          <t>FB-082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10" t="n"/>
      <c r="K83" s="6" t="n"/>
      <c r="L83" s="6" t="n"/>
      <c r="M83" s="11">
        <f>IF(J83="","",TODAY()-J83)</f>
        <v/>
      </c>
      <c r="N83" s="6" t="n"/>
      <c r="O83" s="6" t="n"/>
      <c r="P83" s="6" t="n"/>
      <c r="Q83" s="10" t="n"/>
      <c r="R83" s="6" t="n"/>
    </row>
    <row r="84">
      <c r="A84" s="9" t="inlineStr">
        <is>
          <t>FB-083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10" t="n"/>
      <c r="K84" s="6" t="n"/>
      <c r="L84" s="6" t="n"/>
      <c r="M84" s="11">
        <f>IF(J84="","",TODAY()-J84)</f>
        <v/>
      </c>
      <c r="N84" s="6" t="n"/>
      <c r="O84" s="6" t="n"/>
      <c r="P84" s="6" t="n"/>
      <c r="Q84" s="10" t="n"/>
      <c r="R84" s="6" t="n"/>
    </row>
    <row r="85">
      <c r="A85" s="9" t="inlineStr">
        <is>
          <t>FB-084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10" t="n"/>
      <c r="K85" s="6" t="n"/>
      <c r="L85" s="6" t="n"/>
      <c r="M85" s="11">
        <f>IF(J85="","",TODAY()-J85)</f>
        <v/>
      </c>
      <c r="N85" s="6" t="n"/>
      <c r="O85" s="6" t="n"/>
      <c r="P85" s="6" t="n"/>
      <c r="Q85" s="10" t="n"/>
      <c r="R85" s="6" t="n"/>
    </row>
    <row r="86">
      <c r="A86" s="9" t="inlineStr">
        <is>
          <t>FB-085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10" t="n"/>
      <c r="K86" s="6" t="n"/>
      <c r="L86" s="6" t="n"/>
      <c r="M86" s="11">
        <f>IF(J86="","",TODAY()-J86)</f>
        <v/>
      </c>
      <c r="N86" s="6" t="n"/>
      <c r="O86" s="6" t="n"/>
      <c r="P86" s="6" t="n"/>
      <c r="Q86" s="10" t="n"/>
      <c r="R86" s="6" t="n"/>
    </row>
    <row r="87">
      <c r="A87" s="9" t="inlineStr">
        <is>
          <t>FB-086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10" t="n"/>
      <c r="K87" s="6" t="n"/>
      <c r="L87" s="6" t="n"/>
      <c r="M87" s="11">
        <f>IF(J87="","",TODAY()-J87)</f>
        <v/>
      </c>
      <c r="N87" s="6" t="n"/>
      <c r="O87" s="6" t="n"/>
      <c r="P87" s="6" t="n"/>
      <c r="Q87" s="10" t="n"/>
      <c r="R87" s="6" t="n"/>
    </row>
    <row r="88">
      <c r="A88" s="9" t="inlineStr">
        <is>
          <t>FB-087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10" t="n"/>
      <c r="K88" s="6" t="n"/>
      <c r="L88" s="6" t="n"/>
      <c r="M88" s="11">
        <f>IF(J88="","",TODAY()-J88)</f>
        <v/>
      </c>
      <c r="N88" s="6" t="n"/>
      <c r="O88" s="6" t="n"/>
      <c r="P88" s="6" t="n"/>
      <c r="Q88" s="10" t="n"/>
      <c r="R88" s="6" t="n"/>
    </row>
    <row r="89">
      <c r="A89" s="9" t="inlineStr">
        <is>
          <t>FB-088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10" t="n"/>
      <c r="K89" s="6" t="n"/>
      <c r="L89" s="6" t="n"/>
      <c r="M89" s="11">
        <f>IF(J89="","",TODAY()-J89)</f>
        <v/>
      </c>
      <c r="N89" s="6" t="n"/>
      <c r="O89" s="6" t="n"/>
      <c r="P89" s="6" t="n"/>
      <c r="Q89" s="10" t="n"/>
      <c r="R89" s="6" t="n"/>
    </row>
    <row r="90">
      <c r="A90" s="9" t="inlineStr">
        <is>
          <t>FB-089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10" t="n"/>
      <c r="K90" s="6" t="n"/>
      <c r="L90" s="6" t="n"/>
      <c r="M90" s="11">
        <f>IF(J90="","",TODAY()-J90)</f>
        <v/>
      </c>
      <c r="N90" s="6" t="n"/>
      <c r="O90" s="6" t="n"/>
      <c r="P90" s="6" t="n"/>
      <c r="Q90" s="10" t="n"/>
      <c r="R90" s="6" t="n"/>
    </row>
    <row r="91">
      <c r="A91" s="9" t="inlineStr">
        <is>
          <t>FB-090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10" t="n"/>
      <c r="K91" s="6" t="n"/>
      <c r="L91" s="6" t="n"/>
      <c r="M91" s="11">
        <f>IF(J91="","",TODAY()-J91)</f>
        <v/>
      </c>
      <c r="N91" s="6" t="n"/>
      <c r="O91" s="6" t="n"/>
      <c r="P91" s="6" t="n"/>
      <c r="Q91" s="10" t="n"/>
      <c r="R91" s="6" t="n"/>
    </row>
    <row r="92">
      <c r="A92" s="9" t="inlineStr">
        <is>
          <t>FB-091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10" t="n"/>
      <c r="K92" s="6" t="n"/>
      <c r="L92" s="6" t="n"/>
      <c r="M92" s="11">
        <f>IF(J92="","",TODAY()-J92)</f>
        <v/>
      </c>
      <c r="N92" s="6" t="n"/>
      <c r="O92" s="6" t="n"/>
      <c r="P92" s="6" t="n"/>
      <c r="Q92" s="10" t="n"/>
      <c r="R92" s="6" t="n"/>
    </row>
    <row r="93">
      <c r="A93" s="9" t="inlineStr">
        <is>
          <t>FB-092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10" t="n"/>
      <c r="K93" s="6" t="n"/>
      <c r="L93" s="6" t="n"/>
      <c r="M93" s="11">
        <f>IF(J93="","",TODAY()-J93)</f>
        <v/>
      </c>
      <c r="N93" s="6" t="n"/>
      <c r="O93" s="6" t="n"/>
      <c r="P93" s="6" t="n"/>
      <c r="Q93" s="10" t="n"/>
      <c r="R93" s="6" t="n"/>
    </row>
    <row r="94">
      <c r="A94" s="9" t="inlineStr">
        <is>
          <t>FB-093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10" t="n"/>
      <c r="K94" s="6" t="n"/>
      <c r="L94" s="6" t="n"/>
      <c r="M94" s="11">
        <f>IF(J94="","",TODAY()-J94)</f>
        <v/>
      </c>
      <c r="N94" s="6" t="n"/>
      <c r="O94" s="6" t="n"/>
      <c r="P94" s="6" t="n"/>
      <c r="Q94" s="10" t="n"/>
      <c r="R94" s="6" t="n"/>
    </row>
    <row r="95">
      <c r="A95" s="9" t="inlineStr">
        <is>
          <t>FB-094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10" t="n"/>
      <c r="K95" s="6" t="n"/>
      <c r="L95" s="6" t="n"/>
      <c r="M95" s="11">
        <f>IF(J95="","",TODAY()-J95)</f>
        <v/>
      </c>
      <c r="N95" s="6" t="n"/>
      <c r="O95" s="6" t="n"/>
      <c r="P95" s="6" t="n"/>
      <c r="Q95" s="10" t="n"/>
      <c r="R95" s="6" t="n"/>
    </row>
    <row r="96">
      <c r="A96" s="9" t="inlineStr">
        <is>
          <t>FB-095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10" t="n"/>
      <c r="K96" s="6" t="n"/>
      <c r="L96" s="6" t="n"/>
      <c r="M96" s="11">
        <f>IF(J96="","",TODAY()-J96)</f>
        <v/>
      </c>
      <c r="N96" s="6" t="n"/>
      <c r="O96" s="6" t="n"/>
      <c r="P96" s="6" t="n"/>
      <c r="Q96" s="10" t="n"/>
      <c r="R96" s="6" t="n"/>
    </row>
    <row r="97">
      <c r="A97" s="9" t="inlineStr">
        <is>
          <t>FB-096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10" t="n"/>
      <c r="K97" s="6" t="n"/>
      <c r="L97" s="6" t="n"/>
      <c r="M97" s="11">
        <f>IF(J97="","",TODAY()-J97)</f>
        <v/>
      </c>
      <c r="N97" s="6" t="n"/>
      <c r="O97" s="6" t="n"/>
      <c r="P97" s="6" t="n"/>
      <c r="Q97" s="10" t="n"/>
      <c r="R97" s="6" t="n"/>
    </row>
    <row r="98">
      <c r="A98" s="9" t="inlineStr">
        <is>
          <t>FB-097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10" t="n"/>
      <c r="K98" s="6" t="n"/>
      <c r="L98" s="6" t="n"/>
      <c r="M98" s="11">
        <f>IF(J98="","",TODAY()-J98)</f>
        <v/>
      </c>
      <c r="N98" s="6" t="n"/>
      <c r="O98" s="6" t="n"/>
      <c r="P98" s="6" t="n"/>
      <c r="Q98" s="10" t="n"/>
      <c r="R98" s="6" t="n"/>
    </row>
    <row r="99">
      <c r="A99" s="9" t="inlineStr">
        <is>
          <t>FB-098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10" t="n"/>
      <c r="K99" s="6" t="n"/>
      <c r="L99" s="6" t="n"/>
      <c r="M99" s="11">
        <f>IF(J99="","",TODAY()-J99)</f>
        <v/>
      </c>
      <c r="N99" s="6" t="n"/>
      <c r="O99" s="6" t="n"/>
      <c r="P99" s="6" t="n"/>
      <c r="Q99" s="10" t="n"/>
      <c r="R99" s="6" t="n"/>
    </row>
    <row r="100">
      <c r="A100" s="9" t="inlineStr">
        <is>
          <t>FB-099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10" t="n"/>
      <c r="K100" s="6" t="n"/>
      <c r="L100" s="6" t="n"/>
      <c r="M100" s="11">
        <f>IF(J100="","",TODAY()-J100)</f>
        <v/>
      </c>
      <c r="N100" s="6" t="n"/>
      <c r="O100" s="6" t="n"/>
      <c r="P100" s="6" t="n"/>
      <c r="Q100" s="10" t="n"/>
      <c r="R100" s="6" t="n"/>
    </row>
    <row r="101">
      <c r="A101" s="9" t="inlineStr">
        <is>
          <t>FB-100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10" t="n"/>
      <c r="K101" s="6" t="n"/>
      <c r="L101" s="6" t="n"/>
      <c r="M101" s="11">
        <f>IF(J101="","",TODAY()-J101)</f>
        <v/>
      </c>
      <c r="N101" s="6" t="n"/>
      <c r="O101" s="6" t="n"/>
      <c r="P101" s="6" t="n"/>
      <c r="Q101" s="10" t="n"/>
      <c r="R101" s="6" t="n"/>
    </row>
  </sheetData>
  <autoFilter ref="A1:R101"/>
  <conditionalFormatting sqref="A2:R101">
    <cfRule type="expression" priority="1" dxfId="0">
      <formula>$G2="Critical"</formula>
    </cfRule>
    <cfRule type="expression" priority="2" dxfId="1">
      <formula>$G2="Major"</formula>
    </cfRule>
    <cfRule type="expression" priority="3" dxfId="2">
      <formula>$K2="종료"</formula>
    </cfRule>
  </conditionalFormatting>
  <conditionalFormatting sqref="P2:P101">
    <cfRule type="expression" priority="4" dxfId="3">
      <formula>$P2="Y"</formula>
    </cfRule>
  </conditionalFormatting>
  <dataValidations count="6">
    <dataValidation sqref="B2:B101" showDropDown="0" showInputMessage="0" showErrorMessage="0" allowBlank="1" errorTitle="잘못된 입력" error="목록에서 선택하세요" type="list">
      <formula1>"인사관리,출퇴근,휴가관리,급여,결재/승인,마스터데이터 설정,성과관리,채용,보상,분석,온보딩/오프보딩,규정준수,My Space,기타"</formula1>
    </dataValidation>
    <dataValidation sqref="G2:G101" showDropDown="0" showInputMessage="0" showErrorMessage="0" allowBlank="1" type="list">
      <formula1>"Critical,Major,Minor,개선"</formula1>
    </dataValidation>
    <dataValidation sqref="K2:K101" showDropDown="0" showInputMessage="0" showErrorMessage="0" allowBlank="1" type="list">
      <formula1>"신규,확인중,수정중,수정완료,재테스트,종료,보류"</formula1>
    </dataValidation>
    <dataValidation sqref="L2:L101" showDropDown="0" showInputMessage="0" showErrorMessage="0" allowBlank="1" type="list">
      <formula1>"미확인,Pass,Fail"</formula1>
    </dataValidation>
    <dataValidation sqref="O2:O101" showDropDown="0" showInputMessage="0" showErrorMessage="0" allowBlank="1" type="list">
      <formula1>"-,수용,보류,다음버전"</formula1>
    </dataValidation>
    <dataValidation sqref="P2:P10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  <col width="25" customWidth="1" min="9" max="9"/>
  </cols>
  <sheetData>
    <row r="1">
      <c r="A1" s="12" t="inlineStr">
        <is>
          <t>날짜</t>
        </is>
      </c>
      <c r="B1" s="12" t="inlineStr">
        <is>
          <t>신규</t>
        </is>
      </c>
      <c r="C1" s="12" t="inlineStr">
        <is>
          <t>미해결 누적</t>
        </is>
      </c>
      <c r="D1" s="12" t="inlineStr">
        <is>
          <t>수정완료</t>
        </is>
      </c>
      <c r="E1" s="12" t="inlineStr">
        <is>
          <t>재테스트</t>
        </is>
      </c>
      <c r="F1" s="12" t="inlineStr">
        <is>
          <t>보류</t>
        </is>
      </c>
      <c r="G1" s="12" t="inlineStr">
        <is>
          <t>Critical 미해결</t>
        </is>
      </c>
      <c r="H1" s="12" t="inlineStr">
        <is>
          <t>Major 미해결</t>
        </is>
      </c>
      <c r="I1" s="12" t="inlineStr">
        <is>
          <t>비고</t>
        </is>
      </c>
    </row>
    <row r="2">
      <c r="A2" s="13" t="inlineStr">
        <is>
          <t>Day 1 (04/21)</t>
        </is>
      </c>
      <c r="B2" s="11">
        <f>COUNTIF('피드백 로그'!J:J,DATE(2026,4,21))</f>
        <v/>
      </c>
      <c r="C2" s="11">
        <f>COUNTIFS('피드백 로그'!J:J,"&lt;="&amp;DATE(2026,4,21),'피드백 로그'!K:K,"&lt;&gt;종료",'피드백 로그'!J:J,"&lt;&gt;"&amp;"")</f>
        <v/>
      </c>
      <c r="D2" s="11">
        <f>COUNTIFS('피드백 로그'!Q:Q,"&lt;="&amp;DATE(2026,4,21),'피드백 로그'!K:K,"수정완료")+COUNTIFS('피드백 로그'!Q:Q,"&lt;="&amp;DATE(2026,4,21),'피드백 로그'!K:K,"종료")</f>
        <v/>
      </c>
      <c r="E2" s="11">
        <f>COUNTIFS('피드백 로그'!K:K,"재테스트",'피드백 로그'!J:J,"&lt;="&amp;DATE(2026,4,21))</f>
        <v/>
      </c>
      <c r="F2" s="11">
        <f>COUNTIFS('피드백 로그'!K:K,"보류",'피드백 로그'!J:J,"&lt;="&amp;DATE(2026,4,21))</f>
        <v/>
      </c>
      <c r="G2" s="11">
        <f>COUNTIFS('피드백 로그'!G:G,"Critical",'피드백 로그'!K:K,"&lt;&gt;종료",'피드백 로그'!J:J,"&lt;="&amp;DATE(2026,4,21),'피드백 로그'!J:J,"&lt;&gt;"&amp;"")</f>
        <v/>
      </c>
      <c r="H2" s="11">
        <f>COUNTIFS('피드백 로그'!G:G,"Major",'피드백 로그'!K:K,"&lt;&gt;종료",'피드백 로그'!J:J,"&lt;="&amp;DATE(2026,4,21),'피드백 로그'!J:J,"&lt;&gt;"&amp;"")</f>
        <v/>
      </c>
      <c r="I2" s="11" t="n"/>
    </row>
    <row r="3">
      <c r="A3" s="13" t="inlineStr">
        <is>
          <t>Day 2 (04/22)</t>
        </is>
      </c>
      <c r="B3" s="11">
        <f>COUNTIF('피드백 로그'!J:J,DATE(2026,4,22))</f>
        <v/>
      </c>
      <c r="C3" s="11">
        <f>COUNTIFS('피드백 로그'!J:J,"&lt;="&amp;DATE(2026,4,22),'피드백 로그'!K:K,"&lt;&gt;종료",'피드백 로그'!J:J,"&lt;&gt;"&amp;"")</f>
        <v/>
      </c>
      <c r="D3" s="11">
        <f>COUNTIFS('피드백 로그'!Q:Q,"&lt;="&amp;DATE(2026,4,22),'피드백 로그'!K:K,"수정완료")+COUNTIFS('피드백 로그'!Q:Q,"&lt;="&amp;DATE(2026,4,22),'피드백 로그'!K:K,"종료")</f>
        <v/>
      </c>
      <c r="E3" s="11">
        <f>COUNTIFS('피드백 로그'!K:K,"재테스트",'피드백 로그'!J:J,"&lt;="&amp;DATE(2026,4,22))</f>
        <v/>
      </c>
      <c r="F3" s="11">
        <f>COUNTIFS('피드백 로그'!K:K,"보류",'피드백 로그'!J:J,"&lt;="&amp;DATE(2026,4,22))</f>
        <v/>
      </c>
      <c r="G3" s="11">
        <f>COUNTIFS('피드백 로그'!G:G,"Critical",'피드백 로그'!K:K,"&lt;&gt;종료",'피드백 로그'!J:J,"&lt;="&amp;DATE(2026,4,22),'피드백 로그'!J:J,"&lt;&gt;"&amp;"")</f>
        <v/>
      </c>
      <c r="H3" s="11">
        <f>COUNTIFS('피드백 로그'!G:G,"Major",'피드백 로그'!K:K,"&lt;&gt;종료",'피드백 로그'!J:J,"&lt;="&amp;DATE(2026,4,22),'피드백 로그'!J:J,"&lt;&gt;"&amp;"")</f>
        <v/>
      </c>
      <c r="I3" s="11" t="n"/>
    </row>
    <row r="4">
      <c r="A4" s="13" t="inlineStr">
        <is>
          <t>Day 3 (04/23)</t>
        </is>
      </c>
      <c r="B4" s="11">
        <f>COUNTIF('피드백 로그'!J:J,DATE(2026,4,23))</f>
        <v/>
      </c>
      <c r="C4" s="11">
        <f>COUNTIFS('피드백 로그'!J:J,"&lt;="&amp;DATE(2026,4,23),'피드백 로그'!K:K,"&lt;&gt;종료",'피드백 로그'!J:J,"&lt;&gt;"&amp;"")</f>
        <v/>
      </c>
      <c r="D4" s="11">
        <f>COUNTIFS('피드백 로그'!Q:Q,"&lt;="&amp;DATE(2026,4,23),'피드백 로그'!K:K,"수정완료")+COUNTIFS('피드백 로그'!Q:Q,"&lt;="&amp;DATE(2026,4,23),'피드백 로그'!K:K,"종료")</f>
        <v/>
      </c>
      <c r="E4" s="11">
        <f>COUNTIFS('피드백 로그'!K:K,"재테스트",'피드백 로그'!J:J,"&lt;="&amp;DATE(2026,4,23))</f>
        <v/>
      </c>
      <c r="F4" s="11">
        <f>COUNTIFS('피드백 로그'!K:K,"보류",'피드백 로그'!J:J,"&lt;="&amp;DATE(2026,4,23))</f>
        <v/>
      </c>
      <c r="G4" s="11">
        <f>COUNTIFS('피드백 로그'!G:G,"Critical",'피드백 로그'!K:K,"&lt;&gt;종료",'피드백 로그'!J:J,"&lt;="&amp;DATE(2026,4,23),'피드백 로그'!J:J,"&lt;&gt;"&amp;"")</f>
        <v/>
      </c>
      <c r="H4" s="11">
        <f>COUNTIFS('피드백 로그'!G:G,"Major",'피드백 로그'!K:K,"&lt;&gt;종료",'피드백 로그'!J:J,"&lt;="&amp;DATE(2026,4,23),'피드백 로그'!J:J,"&lt;&gt;"&amp;"")</f>
        <v/>
      </c>
      <c r="I4" s="11" t="n"/>
    </row>
    <row r="5">
      <c r="A5" s="13" t="inlineStr">
        <is>
          <t>Day 4 (04/24)</t>
        </is>
      </c>
      <c r="B5" s="11">
        <f>COUNTIF('피드백 로그'!J:J,DATE(2026,4,24))</f>
        <v/>
      </c>
      <c r="C5" s="11">
        <f>COUNTIFS('피드백 로그'!J:J,"&lt;="&amp;DATE(2026,4,24),'피드백 로그'!K:K,"&lt;&gt;종료",'피드백 로그'!J:J,"&lt;&gt;"&amp;"")</f>
        <v/>
      </c>
      <c r="D5" s="11">
        <f>COUNTIFS('피드백 로그'!Q:Q,"&lt;="&amp;DATE(2026,4,24),'피드백 로그'!K:K,"수정완료")+COUNTIFS('피드백 로그'!Q:Q,"&lt;="&amp;DATE(2026,4,24),'피드백 로그'!K:K,"종료")</f>
        <v/>
      </c>
      <c r="E5" s="11">
        <f>COUNTIFS('피드백 로그'!K:K,"재테스트",'피드백 로그'!J:J,"&lt;="&amp;DATE(2026,4,24))</f>
        <v/>
      </c>
      <c r="F5" s="11">
        <f>COUNTIFS('피드백 로그'!K:K,"보류",'피드백 로그'!J:J,"&lt;="&amp;DATE(2026,4,24))</f>
        <v/>
      </c>
      <c r="G5" s="11">
        <f>COUNTIFS('피드백 로그'!G:G,"Critical",'피드백 로그'!K:K,"&lt;&gt;종료",'피드백 로그'!J:J,"&lt;="&amp;DATE(2026,4,24),'피드백 로그'!J:J,"&lt;&gt;"&amp;"")</f>
        <v/>
      </c>
      <c r="H5" s="11">
        <f>COUNTIFS('피드백 로그'!G:G,"Major",'피드백 로그'!K:K,"&lt;&gt;종료",'피드백 로그'!J:J,"&lt;="&amp;DATE(2026,4,24),'피드백 로그'!J:J,"&lt;&gt;"&amp;"")</f>
        <v/>
      </c>
      <c r="I5" s="11" t="n"/>
    </row>
    <row r="6">
      <c r="A6" s="13" t="inlineStr">
        <is>
          <t>Day 5 (04/25)</t>
        </is>
      </c>
      <c r="B6" s="11">
        <f>COUNTIF('피드백 로그'!J:J,DATE(2026,4,25))</f>
        <v/>
      </c>
      <c r="C6" s="11">
        <f>COUNTIFS('피드백 로그'!J:J,"&lt;="&amp;DATE(2026,4,25),'피드백 로그'!K:K,"&lt;&gt;종료",'피드백 로그'!J:J,"&lt;&gt;"&amp;"")</f>
        <v/>
      </c>
      <c r="D6" s="11">
        <f>COUNTIFS('피드백 로그'!Q:Q,"&lt;="&amp;DATE(2026,4,25),'피드백 로그'!K:K,"수정완료")+COUNTIFS('피드백 로그'!Q:Q,"&lt;="&amp;DATE(2026,4,25),'피드백 로그'!K:K,"종료")</f>
        <v/>
      </c>
      <c r="E6" s="11">
        <f>COUNTIFS('피드백 로그'!K:K,"재테스트",'피드백 로그'!J:J,"&lt;="&amp;DATE(2026,4,25))</f>
        <v/>
      </c>
      <c r="F6" s="11">
        <f>COUNTIFS('피드백 로그'!K:K,"보류",'피드백 로그'!J:J,"&lt;="&amp;DATE(2026,4,25))</f>
        <v/>
      </c>
      <c r="G6" s="11">
        <f>COUNTIFS('피드백 로그'!G:G,"Critical",'피드백 로그'!K:K,"&lt;&gt;종료",'피드백 로그'!J:J,"&lt;="&amp;DATE(2026,4,25),'피드백 로그'!J:J,"&lt;&gt;"&amp;"")</f>
        <v/>
      </c>
      <c r="H6" s="11">
        <f>COUNTIFS('피드백 로그'!G:G,"Major",'피드백 로그'!K:K,"&lt;&gt;종료",'피드백 로그'!J:J,"&lt;="&amp;DATE(2026,4,25),'피드백 로그'!J:J,"&lt;&gt;"&amp;"")</f>
        <v/>
      </c>
      <c r="I6" s="11" t="n"/>
    </row>
    <row r="7">
      <c r="A7" s="13" t="inlineStr">
        <is>
          <t>Day 6 (04/26)</t>
        </is>
      </c>
      <c r="B7" s="11">
        <f>COUNTIF('피드백 로그'!J:J,DATE(2026,4,26))</f>
        <v/>
      </c>
      <c r="C7" s="11">
        <f>COUNTIFS('피드백 로그'!J:J,"&lt;="&amp;DATE(2026,4,26),'피드백 로그'!K:K,"&lt;&gt;종료",'피드백 로그'!J:J,"&lt;&gt;"&amp;"")</f>
        <v/>
      </c>
      <c r="D7" s="11">
        <f>COUNTIFS('피드백 로그'!Q:Q,"&lt;="&amp;DATE(2026,4,26),'피드백 로그'!K:K,"수정완료")+COUNTIFS('피드백 로그'!Q:Q,"&lt;="&amp;DATE(2026,4,26),'피드백 로그'!K:K,"종료")</f>
        <v/>
      </c>
      <c r="E7" s="11">
        <f>COUNTIFS('피드백 로그'!K:K,"재테스트",'피드백 로그'!J:J,"&lt;="&amp;DATE(2026,4,26))</f>
        <v/>
      </c>
      <c r="F7" s="11">
        <f>COUNTIFS('피드백 로그'!K:K,"보류",'피드백 로그'!J:J,"&lt;="&amp;DATE(2026,4,26))</f>
        <v/>
      </c>
      <c r="G7" s="11">
        <f>COUNTIFS('피드백 로그'!G:G,"Critical",'피드백 로그'!K:K,"&lt;&gt;종료",'피드백 로그'!J:J,"&lt;="&amp;DATE(2026,4,26),'피드백 로그'!J:J,"&lt;&gt;"&amp;"")</f>
        <v/>
      </c>
      <c r="H7" s="11">
        <f>COUNTIFS('피드백 로그'!G:G,"Major",'피드백 로그'!K:K,"&lt;&gt;종료",'피드백 로그'!J:J,"&lt;="&amp;DATE(2026,4,26),'피드백 로그'!J:J,"&lt;&gt;"&amp;"")</f>
        <v/>
      </c>
      <c r="I7" s="11" t="n"/>
    </row>
    <row r="8">
      <c r="A8" s="13" t="inlineStr">
        <is>
          <t>Day 7 (04/27)</t>
        </is>
      </c>
      <c r="B8" s="11">
        <f>COUNTIF('피드백 로그'!J:J,DATE(2026,4,27))</f>
        <v/>
      </c>
      <c r="C8" s="11">
        <f>COUNTIFS('피드백 로그'!J:J,"&lt;="&amp;DATE(2026,4,27),'피드백 로그'!K:K,"&lt;&gt;종료",'피드백 로그'!J:J,"&lt;&gt;"&amp;"")</f>
        <v/>
      </c>
      <c r="D8" s="11">
        <f>COUNTIFS('피드백 로그'!Q:Q,"&lt;="&amp;DATE(2026,4,27),'피드백 로그'!K:K,"수정완료")+COUNTIFS('피드백 로그'!Q:Q,"&lt;="&amp;DATE(2026,4,27),'피드백 로그'!K:K,"종료")</f>
        <v/>
      </c>
      <c r="E8" s="11">
        <f>COUNTIFS('피드백 로그'!K:K,"재테스트",'피드백 로그'!J:J,"&lt;="&amp;DATE(2026,4,27))</f>
        <v/>
      </c>
      <c r="F8" s="11">
        <f>COUNTIFS('피드백 로그'!K:K,"보류",'피드백 로그'!J:J,"&lt;="&amp;DATE(2026,4,27))</f>
        <v/>
      </c>
      <c r="G8" s="11">
        <f>COUNTIFS('피드백 로그'!G:G,"Critical",'피드백 로그'!K:K,"&lt;&gt;종료",'피드백 로그'!J:J,"&lt;="&amp;DATE(2026,4,27),'피드백 로그'!J:J,"&lt;&gt;"&amp;"")</f>
        <v/>
      </c>
      <c r="H8" s="11">
        <f>COUNTIFS('피드백 로그'!G:G,"Major",'피드백 로그'!K:K,"&lt;&gt;종료",'피드백 로그'!J:J,"&lt;="&amp;DATE(2026,4,27),'피드백 로그'!J:J,"&lt;&gt;"&amp;"")</f>
        <v/>
      </c>
      <c r="I8" s="11" t="n"/>
    </row>
    <row r="9">
      <c r="A9" s="13" t="inlineStr">
        <is>
          <t>Day 8 (04/28)</t>
        </is>
      </c>
      <c r="B9" s="11">
        <f>COUNTIF('피드백 로그'!J:J,DATE(2026,4,28))</f>
        <v/>
      </c>
      <c r="C9" s="11">
        <f>COUNTIFS('피드백 로그'!J:J,"&lt;="&amp;DATE(2026,4,28),'피드백 로그'!K:K,"&lt;&gt;종료",'피드백 로그'!J:J,"&lt;&gt;"&amp;"")</f>
        <v/>
      </c>
      <c r="D9" s="11">
        <f>COUNTIFS('피드백 로그'!Q:Q,"&lt;="&amp;DATE(2026,4,28),'피드백 로그'!K:K,"수정완료")+COUNTIFS('피드백 로그'!Q:Q,"&lt;="&amp;DATE(2026,4,28),'피드백 로그'!K:K,"종료")</f>
        <v/>
      </c>
      <c r="E9" s="11">
        <f>COUNTIFS('피드백 로그'!K:K,"재테스트",'피드백 로그'!J:J,"&lt;="&amp;DATE(2026,4,28))</f>
        <v/>
      </c>
      <c r="F9" s="11">
        <f>COUNTIFS('피드백 로그'!K:K,"보류",'피드백 로그'!J:J,"&lt;="&amp;DATE(2026,4,28))</f>
        <v/>
      </c>
      <c r="G9" s="11">
        <f>COUNTIFS('피드백 로그'!G:G,"Critical",'피드백 로그'!K:K,"&lt;&gt;종료",'피드백 로그'!J:J,"&lt;="&amp;DATE(2026,4,28),'피드백 로그'!J:J,"&lt;&gt;"&amp;"")</f>
        <v/>
      </c>
      <c r="H9" s="11">
        <f>COUNTIFS('피드백 로그'!G:G,"Major",'피드백 로그'!K:K,"&lt;&gt;종료",'피드백 로그'!J:J,"&lt;="&amp;DATE(2026,4,28),'피드백 로그'!J:J,"&lt;&gt;"&amp;"")</f>
        <v/>
      </c>
      <c r="I9" s="11" t="n"/>
    </row>
    <row r="10">
      <c r="A10" s="13" t="inlineStr">
        <is>
          <t>Day 9 (04/29)</t>
        </is>
      </c>
      <c r="B10" s="11">
        <f>COUNTIF('피드백 로그'!J:J,DATE(2026,4,29))</f>
        <v/>
      </c>
      <c r="C10" s="11">
        <f>COUNTIFS('피드백 로그'!J:J,"&lt;="&amp;DATE(2026,4,29),'피드백 로그'!K:K,"&lt;&gt;종료",'피드백 로그'!J:J,"&lt;&gt;"&amp;"")</f>
        <v/>
      </c>
      <c r="D10" s="11">
        <f>COUNTIFS('피드백 로그'!Q:Q,"&lt;="&amp;DATE(2026,4,29),'피드백 로그'!K:K,"수정완료")+COUNTIFS('피드백 로그'!Q:Q,"&lt;="&amp;DATE(2026,4,29),'피드백 로그'!K:K,"종료")</f>
        <v/>
      </c>
      <c r="E10" s="11">
        <f>COUNTIFS('피드백 로그'!K:K,"재테스트",'피드백 로그'!J:J,"&lt;="&amp;DATE(2026,4,29))</f>
        <v/>
      </c>
      <c r="F10" s="11">
        <f>COUNTIFS('피드백 로그'!K:K,"보류",'피드백 로그'!J:J,"&lt;="&amp;DATE(2026,4,29))</f>
        <v/>
      </c>
      <c r="G10" s="11">
        <f>COUNTIFS('피드백 로그'!G:G,"Critical",'피드백 로그'!K:K,"&lt;&gt;종료",'피드백 로그'!J:J,"&lt;="&amp;DATE(2026,4,29),'피드백 로그'!J:J,"&lt;&gt;"&amp;"")</f>
        <v/>
      </c>
      <c r="H10" s="11">
        <f>COUNTIFS('피드백 로그'!G:G,"Major",'피드백 로그'!K:K,"&lt;&gt;종료",'피드백 로그'!J:J,"&lt;="&amp;DATE(2026,4,29),'피드백 로그'!J:J,"&lt;&gt;"&amp;"")</f>
        <v/>
      </c>
      <c r="I10" s="11" t="n"/>
    </row>
    <row r="11">
      <c r="A11" s="13" t="inlineStr">
        <is>
          <t>Day 10 (04/30)</t>
        </is>
      </c>
      <c r="B11" s="11">
        <f>COUNTIF('피드백 로그'!J:J,DATE(2026,4,30))</f>
        <v/>
      </c>
      <c r="C11" s="11">
        <f>COUNTIFS('피드백 로그'!J:J,"&lt;="&amp;DATE(2026,4,30),'피드백 로그'!K:K,"&lt;&gt;종료",'피드백 로그'!J:J,"&lt;&gt;"&amp;"")</f>
        <v/>
      </c>
      <c r="D11" s="11">
        <f>COUNTIFS('피드백 로그'!Q:Q,"&lt;="&amp;DATE(2026,4,30),'피드백 로그'!K:K,"수정완료")+COUNTIFS('피드백 로그'!Q:Q,"&lt;="&amp;DATE(2026,4,30),'피드백 로그'!K:K,"종료")</f>
        <v/>
      </c>
      <c r="E11" s="11">
        <f>COUNTIFS('피드백 로그'!K:K,"재테스트",'피드백 로그'!J:J,"&lt;="&amp;DATE(2026,4,30))</f>
        <v/>
      </c>
      <c r="F11" s="11">
        <f>COUNTIFS('피드백 로그'!K:K,"보류",'피드백 로그'!J:J,"&lt;="&amp;DATE(2026,4,30))</f>
        <v/>
      </c>
      <c r="G11" s="11">
        <f>COUNTIFS('피드백 로그'!G:G,"Critical",'피드백 로그'!K:K,"&lt;&gt;종료",'피드백 로그'!J:J,"&lt;="&amp;DATE(2026,4,30),'피드백 로그'!J:J,"&lt;&gt;"&amp;"")</f>
        <v/>
      </c>
      <c r="H11" s="11">
        <f>COUNTIFS('피드백 로그'!G:G,"Major",'피드백 로그'!K:K,"&lt;&gt;종료",'피드백 로그'!J:J,"&lt;="&amp;DATE(2026,4,30),'피드백 로그'!J:J,"&lt;&gt;"&amp;"")</f>
        <v/>
      </c>
      <c r="I11" s="11" t="n"/>
    </row>
  </sheetData>
  <conditionalFormatting sqref="G2:G11">
    <cfRule type="expression" priority="1" dxfId="4">
      <formula>G2&gt;0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4" t="inlineStr">
        <is>
          <t>모듈</t>
        </is>
      </c>
      <c r="B1" s="14" t="inlineStr">
        <is>
          <t>Critical</t>
        </is>
      </c>
      <c r="C1" s="14" t="inlineStr">
        <is>
          <t>Major</t>
        </is>
      </c>
      <c r="D1" s="14" t="inlineStr">
        <is>
          <t>Minor</t>
        </is>
      </c>
      <c r="E1" s="14" t="inlineStr">
        <is>
          <t>개선</t>
        </is>
      </c>
      <c r="F1" s="14" t="inlineStr">
        <is>
          <t>총건수</t>
        </is>
      </c>
      <c r="G1" s="14" t="inlineStr">
        <is>
          <t>해결률(%)</t>
        </is>
      </c>
    </row>
    <row r="2">
      <c r="A2" s="15" t="inlineStr">
        <is>
          <t>인사관리</t>
        </is>
      </c>
      <c r="B2" s="11">
        <f>COUNTIFS('피드백 로그'!B:B,A2,'피드백 로그'!G:G,"Critical")</f>
        <v/>
      </c>
      <c r="C2" s="11">
        <f>COUNTIFS('피드백 로그'!B:B,A2,'피드백 로그'!G:G,"Major")</f>
        <v/>
      </c>
      <c r="D2" s="11">
        <f>COUNTIFS('피드백 로그'!B:B,A2,'피드백 로그'!G:G,"Minor")</f>
        <v/>
      </c>
      <c r="E2" s="11">
        <f>COUNTIFS('피드백 로그'!B:B,A2,'피드백 로그'!G:G,"개선")</f>
        <v/>
      </c>
      <c r="F2" s="11">
        <f>SUM(B2:E2)</f>
        <v/>
      </c>
      <c r="G2" s="16">
        <f>IF(F2=0,"-",COUNTIFS('피드백 로그'!B:B,A2,'피드백 로그'!K:K,"종료")/F2)</f>
        <v/>
      </c>
    </row>
    <row r="3">
      <c r="A3" s="15" t="inlineStr">
        <is>
          <t>출퇴근</t>
        </is>
      </c>
      <c r="B3" s="11">
        <f>COUNTIFS('피드백 로그'!B:B,A3,'피드백 로그'!G:G,"Critical")</f>
        <v/>
      </c>
      <c r="C3" s="11">
        <f>COUNTIFS('피드백 로그'!B:B,A3,'피드백 로그'!G:G,"Major")</f>
        <v/>
      </c>
      <c r="D3" s="11">
        <f>COUNTIFS('피드백 로그'!B:B,A3,'피드백 로그'!G:G,"Minor")</f>
        <v/>
      </c>
      <c r="E3" s="11">
        <f>COUNTIFS('피드백 로그'!B:B,A3,'피드백 로그'!G:G,"개선")</f>
        <v/>
      </c>
      <c r="F3" s="11">
        <f>SUM(B3:E3)</f>
        <v/>
      </c>
      <c r="G3" s="16">
        <f>IF(F3=0,"-",COUNTIFS('피드백 로그'!B:B,A3,'피드백 로그'!K:K,"종료")/F3)</f>
        <v/>
      </c>
    </row>
    <row r="4">
      <c r="A4" s="15" t="inlineStr">
        <is>
          <t>휴가관리</t>
        </is>
      </c>
      <c r="B4" s="11">
        <f>COUNTIFS('피드백 로그'!B:B,A4,'피드백 로그'!G:G,"Critical")</f>
        <v/>
      </c>
      <c r="C4" s="11">
        <f>COUNTIFS('피드백 로그'!B:B,A4,'피드백 로그'!G:G,"Major")</f>
        <v/>
      </c>
      <c r="D4" s="11">
        <f>COUNTIFS('피드백 로그'!B:B,A4,'피드백 로그'!G:G,"Minor")</f>
        <v/>
      </c>
      <c r="E4" s="11">
        <f>COUNTIFS('피드백 로그'!B:B,A4,'피드백 로그'!G:G,"개선")</f>
        <v/>
      </c>
      <c r="F4" s="11">
        <f>SUM(B4:E4)</f>
        <v/>
      </c>
      <c r="G4" s="16">
        <f>IF(F4=0,"-",COUNTIFS('피드백 로그'!B:B,A4,'피드백 로그'!K:K,"종료")/F4)</f>
        <v/>
      </c>
    </row>
    <row r="5">
      <c r="A5" s="15" t="inlineStr">
        <is>
          <t>급여</t>
        </is>
      </c>
      <c r="B5" s="11">
        <f>COUNTIFS('피드백 로그'!B:B,A5,'피드백 로그'!G:G,"Critical")</f>
        <v/>
      </c>
      <c r="C5" s="11">
        <f>COUNTIFS('피드백 로그'!B:B,A5,'피드백 로그'!G:G,"Major")</f>
        <v/>
      </c>
      <c r="D5" s="11">
        <f>COUNTIFS('피드백 로그'!B:B,A5,'피드백 로그'!G:G,"Minor")</f>
        <v/>
      </c>
      <c r="E5" s="11">
        <f>COUNTIFS('피드백 로그'!B:B,A5,'피드백 로그'!G:G,"개선")</f>
        <v/>
      </c>
      <c r="F5" s="11">
        <f>SUM(B5:E5)</f>
        <v/>
      </c>
      <c r="G5" s="16">
        <f>IF(F5=0,"-",COUNTIFS('피드백 로그'!B:B,A5,'피드백 로그'!K:K,"종료")/F5)</f>
        <v/>
      </c>
    </row>
    <row r="6">
      <c r="A6" s="15" t="inlineStr">
        <is>
          <t>결재/승인</t>
        </is>
      </c>
      <c r="B6" s="11">
        <f>COUNTIFS('피드백 로그'!B:B,A6,'피드백 로그'!G:G,"Critical")</f>
        <v/>
      </c>
      <c r="C6" s="11">
        <f>COUNTIFS('피드백 로그'!B:B,A6,'피드백 로그'!G:G,"Major")</f>
        <v/>
      </c>
      <c r="D6" s="11">
        <f>COUNTIFS('피드백 로그'!B:B,A6,'피드백 로그'!G:G,"Minor")</f>
        <v/>
      </c>
      <c r="E6" s="11">
        <f>COUNTIFS('피드백 로그'!B:B,A6,'피드백 로그'!G:G,"개선")</f>
        <v/>
      </c>
      <c r="F6" s="11">
        <f>SUM(B6:E6)</f>
        <v/>
      </c>
      <c r="G6" s="16">
        <f>IF(F6=0,"-",COUNTIFS('피드백 로그'!B:B,A6,'피드백 로그'!K:K,"종료")/F6)</f>
        <v/>
      </c>
    </row>
    <row r="7">
      <c r="A7" s="15" t="inlineStr">
        <is>
          <t>마스터데이터 설정</t>
        </is>
      </c>
      <c r="B7" s="11">
        <f>COUNTIFS('피드백 로그'!B:B,A7,'피드백 로그'!G:G,"Critical")</f>
        <v/>
      </c>
      <c r="C7" s="11">
        <f>COUNTIFS('피드백 로그'!B:B,A7,'피드백 로그'!G:G,"Major")</f>
        <v/>
      </c>
      <c r="D7" s="11">
        <f>COUNTIFS('피드백 로그'!B:B,A7,'피드백 로그'!G:G,"Minor")</f>
        <v/>
      </c>
      <c r="E7" s="11">
        <f>COUNTIFS('피드백 로그'!B:B,A7,'피드백 로그'!G:G,"개선")</f>
        <v/>
      </c>
      <c r="F7" s="11">
        <f>SUM(B7:E7)</f>
        <v/>
      </c>
      <c r="G7" s="16">
        <f>IF(F7=0,"-",COUNTIFS('피드백 로그'!B:B,A7,'피드백 로그'!K:K,"종료")/F7)</f>
        <v/>
      </c>
    </row>
    <row r="8">
      <c r="A8" s="15" t="inlineStr">
        <is>
          <t>성과관리</t>
        </is>
      </c>
      <c r="B8" s="11">
        <f>COUNTIFS('피드백 로그'!B:B,A8,'피드백 로그'!G:G,"Critical")</f>
        <v/>
      </c>
      <c r="C8" s="11">
        <f>COUNTIFS('피드백 로그'!B:B,A8,'피드백 로그'!G:G,"Major")</f>
        <v/>
      </c>
      <c r="D8" s="11">
        <f>COUNTIFS('피드백 로그'!B:B,A8,'피드백 로그'!G:G,"Minor")</f>
        <v/>
      </c>
      <c r="E8" s="11">
        <f>COUNTIFS('피드백 로그'!B:B,A8,'피드백 로그'!G:G,"개선")</f>
        <v/>
      </c>
      <c r="F8" s="11">
        <f>SUM(B8:E8)</f>
        <v/>
      </c>
      <c r="G8" s="16">
        <f>IF(F8=0,"-",COUNTIFS('피드백 로그'!B:B,A8,'피드백 로그'!K:K,"종료")/F8)</f>
        <v/>
      </c>
    </row>
    <row r="9">
      <c r="A9" s="15" t="inlineStr">
        <is>
          <t>채용</t>
        </is>
      </c>
      <c r="B9" s="11">
        <f>COUNTIFS('피드백 로그'!B:B,A9,'피드백 로그'!G:G,"Critical")</f>
        <v/>
      </c>
      <c r="C9" s="11">
        <f>COUNTIFS('피드백 로그'!B:B,A9,'피드백 로그'!G:G,"Major")</f>
        <v/>
      </c>
      <c r="D9" s="11">
        <f>COUNTIFS('피드백 로그'!B:B,A9,'피드백 로그'!G:G,"Minor")</f>
        <v/>
      </c>
      <c r="E9" s="11">
        <f>COUNTIFS('피드백 로그'!B:B,A9,'피드백 로그'!G:G,"개선")</f>
        <v/>
      </c>
      <c r="F9" s="11">
        <f>SUM(B9:E9)</f>
        <v/>
      </c>
      <c r="G9" s="16">
        <f>IF(F9=0,"-",COUNTIFS('피드백 로그'!B:B,A9,'피드백 로그'!K:K,"종료")/F9)</f>
        <v/>
      </c>
    </row>
    <row r="10">
      <c r="A10" s="15" t="inlineStr">
        <is>
          <t>보상</t>
        </is>
      </c>
      <c r="B10" s="11">
        <f>COUNTIFS('피드백 로그'!B:B,A10,'피드백 로그'!G:G,"Critical")</f>
        <v/>
      </c>
      <c r="C10" s="11">
        <f>COUNTIFS('피드백 로그'!B:B,A10,'피드백 로그'!G:G,"Major")</f>
        <v/>
      </c>
      <c r="D10" s="11">
        <f>COUNTIFS('피드백 로그'!B:B,A10,'피드백 로그'!G:G,"Minor")</f>
        <v/>
      </c>
      <c r="E10" s="11">
        <f>COUNTIFS('피드백 로그'!B:B,A10,'피드백 로그'!G:G,"개선")</f>
        <v/>
      </c>
      <c r="F10" s="11">
        <f>SUM(B10:E10)</f>
        <v/>
      </c>
      <c r="G10" s="16">
        <f>IF(F10=0,"-",COUNTIFS('피드백 로그'!B:B,A10,'피드백 로그'!K:K,"종료")/F10)</f>
        <v/>
      </c>
    </row>
    <row r="11">
      <c r="A11" s="15" t="inlineStr">
        <is>
          <t>분석</t>
        </is>
      </c>
      <c r="B11" s="11">
        <f>COUNTIFS('피드백 로그'!B:B,A11,'피드백 로그'!G:G,"Critical")</f>
        <v/>
      </c>
      <c r="C11" s="11">
        <f>COUNTIFS('피드백 로그'!B:B,A11,'피드백 로그'!G:G,"Major")</f>
        <v/>
      </c>
      <c r="D11" s="11">
        <f>COUNTIFS('피드백 로그'!B:B,A11,'피드백 로그'!G:G,"Minor")</f>
        <v/>
      </c>
      <c r="E11" s="11">
        <f>COUNTIFS('피드백 로그'!B:B,A11,'피드백 로그'!G:G,"개선")</f>
        <v/>
      </c>
      <c r="F11" s="11">
        <f>SUM(B11:E11)</f>
        <v/>
      </c>
      <c r="G11" s="16">
        <f>IF(F11=0,"-",COUNTIFS('피드백 로그'!B:B,A11,'피드백 로그'!K:K,"종료")/F11)</f>
        <v/>
      </c>
    </row>
    <row r="12">
      <c r="A12" s="15" t="inlineStr">
        <is>
          <t>온보딩/오프보딩</t>
        </is>
      </c>
      <c r="B12" s="11">
        <f>COUNTIFS('피드백 로그'!B:B,A12,'피드백 로그'!G:G,"Critical")</f>
        <v/>
      </c>
      <c r="C12" s="11">
        <f>COUNTIFS('피드백 로그'!B:B,A12,'피드백 로그'!G:G,"Major")</f>
        <v/>
      </c>
      <c r="D12" s="11">
        <f>COUNTIFS('피드백 로그'!B:B,A12,'피드백 로그'!G:G,"Minor")</f>
        <v/>
      </c>
      <c r="E12" s="11">
        <f>COUNTIFS('피드백 로그'!B:B,A12,'피드백 로그'!G:G,"개선")</f>
        <v/>
      </c>
      <c r="F12" s="11">
        <f>SUM(B12:E12)</f>
        <v/>
      </c>
      <c r="G12" s="16">
        <f>IF(F12=0,"-",COUNTIFS('피드백 로그'!B:B,A12,'피드백 로그'!K:K,"종료")/F12)</f>
        <v/>
      </c>
    </row>
    <row r="13">
      <c r="A13" s="15" t="inlineStr">
        <is>
          <t>규정준수</t>
        </is>
      </c>
      <c r="B13" s="11">
        <f>COUNTIFS('피드백 로그'!B:B,A13,'피드백 로그'!G:G,"Critical")</f>
        <v/>
      </c>
      <c r="C13" s="11">
        <f>COUNTIFS('피드백 로그'!B:B,A13,'피드백 로그'!G:G,"Major")</f>
        <v/>
      </c>
      <c r="D13" s="11">
        <f>COUNTIFS('피드백 로그'!B:B,A13,'피드백 로그'!G:G,"Minor")</f>
        <v/>
      </c>
      <c r="E13" s="11">
        <f>COUNTIFS('피드백 로그'!B:B,A13,'피드백 로그'!G:G,"개선")</f>
        <v/>
      </c>
      <c r="F13" s="11">
        <f>SUM(B13:E13)</f>
        <v/>
      </c>
      <c r="G13" s="16">
        <f>IF(F13=0,"-",COUNTIFS('피드백 로그'!B:B,A13,'피드백 로그'!K:K,"종료")/F13)</f>
        <v/>
      </c>
    </row>
    <row r="14">
      <c r="A14" s="15" t="inlineStr">
        <is>
          <t>My Space</t>
        </is>
      </c>
      <c r="B14" s="11">
        <f>COUNTIFS('피드백 로그'!B:B,A14,'피드백 로그'!G:G,"Critical")</f>
        <v/>
      </c>
      <c r="C14" s="11">
        <f>COUNTIFS('피드백 로그'!B:B,A14,'피드백 로그'!G:G,"Major")</f>
        <v/>
      </c>
      <c r="D14" s="11">
        <f>COUNTIFS('피드백 로그'!B:B,A14,'피드백 로그'!G:G,"Minor")</f>
        <v/>
      </c>
      <c r="E14" s="11">
        <f>COUNTIFS('피드백 로그'!B:B,A14,'피드백 로그'!G:G,"개선")</f>
        <v/>
      </c>
      <c r="F14" s="11">
        <f>SUM(B14:E14)</f>
        <v/>
      </c>
      <c r="G14" s="16">
        <f>IF(F14=0,"-",COUNTIFS('피드백 로그'!B:B,A14,'피드백 로그'!K:K,"종료")/F14)</f>
        <v/>
      </c>
    </row>
    <row r="15">
      <c r="A15" s="15" t="inlineStr">
        <is>
          <t>기타</t>
        </is>
      </c>
      <c r="B15" s="11">
        <f>COUNTIFS('피드백 로그'!B:B,A15,'피드백 로그'!G:G,"Critical")</f>
        <v/>
      </c>
      <c r="C15" s="11">
        <f>COUNTIFS('피드백 로그'!B:B,A15,'피드백 로그'!G:G,"Major")</f>
        <v/>
      </c>
      <c r="D15" s="11">
        <f>COUNTIFS('피드백 로그'!B:B,A15,'피드백 로그'!G:G,"Minor")</f>
        <v/>
      </c>
      <c r="E15" s="11">
        <f>COUNTIFS('피드백 로그'!B:B,A15,'피드백 로그'!G:G,"개선")</f>
        <v/>
      </c>
      <c r="F15" s="11">
        <f>SUM(B15:E15)</f>
        <v/>
      </c>
      <c r="G15" s="16">
        <f>IF(F15=0,"-",COUNTIFS('피드백 로그'!B:B,A15,'피드백 로그'!K:K,"종료")/F15)</f>
        <v/>
      </c>
    </row>
    <row r="16">
      <c r="A16" s="17" t="inlineStr">
        <is>
          <t>합계</t>
        </is>
      </c>
      <c r="B16" s="18">
        <f>SUM(B2:B15)</f>
        <v/>
      </c>
      <c r="C16" s="18">
        <f>SUM(C2:C15)</f>
        <v/>
      </c>
      <c r="D16" s="18">
        <f>SUM(D2:D15)</f>
        <v/>
      </c>
      <c r="E16" s="18">
        <f>SUM(E2:E15)</f>
        <v/>
      </c>
      <c r="F16" s="18">
        <f>SUM(F2:F15)</f>
        <v/>
      </c>
      <c r="G16" s="19">
        <f>IF(F16=0,"-",COUNTIFS('피드백 로그'!K:K,"종료")/F16)</f>
        <v/>
      </c>
    </row>
  </sheetData>
  <conditionalFormatting sqref="B2:B15">
    <cfRule type="expression" priority="1" dxfId="4">
      <formula>B2&gt;0</formula>
    </cfRule>
  </conditionalFormatting>
  <conditionalFormatting sqref="G2:G15">
    <cfRule type="expression" priority="2" dxfId="4">
      <formula>AND(ISNUMBER(G2),G2&lt;0.8)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4" t="inlineStr">
        <is>
          <t>심각도</t>
        </is>
      </c>
      <c r="B1" s="14" t="inlineStr">
        <is>
          <t>신규</t>
        </is>
      </c>
      <c r="C1" s="14" t="inlineStr">
        <is>
          <t>확인중</t>
        </is>
      </c>
      <c r="D1" s="14" t="inlineStr">
        <is>
          <t>수정중</t>
        </is>
      </c>
      <c r="E1" s="14" t="inlineStr">
        <is>
          <t>수정완료</t>
        </is>
      </c>
      <c r="F1" s="14" t="inlineStr">
        <is>
          <t>재테스트</t>
        </is>
      </c>
      <c r="G1" s="14" t="inlineStr">
        <is>
          <t>종료</t>
        </is>
      </c>
      <c r="H1" s="14" t="inlineStr">
        <is>
          <t>보류</t>
        </is>
      </c>
      <c r="I1" s="14" t="inlineStr">
        <is>
          <t>총건수</t>
        </is>
      </c>
    </row>
    <row r="2">
      <c r="A2" s="20" t="inlineStr">
        <is>
          <t>Critical</t>
        </is>
      </c>
      <c r="B2" s="21">
        <f>COUNTIFS('피드백 로그'!G:G,A2,'피드백 로그'!K:K,"신규")</f>
        <v/>
      </c>
      <c r="C2" s="21">
        <f>COUNTIFS('피드백 로그'!G:G,A2,'피드백 로그'!K:K,"확인중")</f>
        <v/>
      </c>
      <c r="D2" s="21">
        <f>COUNTIFS('피드백 로그'!G:G,A2,'피드백 로그'!K:K,"수정중")</f>
        <v/>
      </c>
      <c r="E2" s="21">
        <f>COUNTIFS('피드백 로그'!G:G,A2,'피드백 로그'!K:K,"수정완료")</f>
        <v/>
      </c>
      <c r="F2" s="21">
        <f>COUNTIFS('피드백 로그'!G:G,A2,'피드백 로그'!K:K,"재테스트")</f>
        <v/>
      </c>
      <c r="G2" s="21">
        <f>COUNTIFS('피드백 로그'!G:G,A2,'피드백 로그'!K:K,"종료")</f>
        <v/>
      </c>
      <c r="H2" s="21">
        <f>COUNTIFS('피드백 로그'!G:G,A2,'피드백 로그'!K:K,"보류")</f>
        <v/>
      </c>
      <c r="I2" s="22">
        <f>SUM(B2:H2)</f>
        <v/>
      </c>
    </row>
    <row r="3">
      <c r="A3" s="13" t="inlineStr">
        <is>
          <t>Major</t>
        </is>
      </c>
      <c r="B3" s="11">
        <f>COUNTIFS('피드백 로그'!G:G,A3,'피드백 로그'!K:K,"신규")</f>
        <v/>
      </c>
      <c r="C3" s="11">
        <f>COUNTIFS('피드백 로그'!G:G,A3,'피드백 로그'!K:K,"확인중")</f>
        <v/>
      </c>
      <c r="D3" s="11">
        <f>COUNTIFS('피드백 로그'!G:G,A3,'피드백 로그'!K:K,"수정중")</f>
        <v/>
      </c>
      <c r="E3" s="11">
        <f>COUNTIFS('피드백 로그'!G:G,A3,'피드백 로그'!K:K,"수정완료")</f>
        <v/>
      </c>
      <c r="F3" s="11">
        <f>COUNTIFS('피드백 로그'!G:G,A3,'피드백 로그'!K:K,"재테스트")</f>
        <v/>
      </c>
      <c r="G3" s="11">
        <f>COUNTIFS('피드백 로그'!G:G,A3,'피드백 로그'!K:K,"종료")</f>
        <v/>
      </c>
      <c r="H3" s="11">
        <f>COUNTIFS('피드백 로그'!G:G,A3,'피드백 로그'!K:K,"보류")</f>
        <v/>
      </c>
      <c r="I3" s="23">
        <f>SUM(B3:H3)</f>
        <v/>
      </c>
    </row>
    <row r="4">
      <c r="A4" s="13" t="inlineStr">
        <is>
          <t>Minor</t>
        </is>
      </c>
      <c r="B4" s="11">
        <f>COUNTIFS('피드백 로그'!G:G,A4,'피드백 로그'!K:K,"신규")</f>
        <v/>
      </c>
      <c r="C4" s="11">
        <f>COUNTIFS('피드백 로그'!G:G,A4,'피드백 로그'!K:K,"확인중")</f>
        <v/>
      </c>
      <c r="D4" s="11">
        <f>COUNTIFS('피드백 로그'!G:G,A4,'피드백 로그'!K:K,"수정중")</f>
        <v/>
      </c>
      <c r="E4" s="11">
        <f>COUNTIFS('피드백 로그'!G:G,A4,'피드백 로그'!K:K,"수정완료")</f>
        <v/>
      </c>
      <c r="F4" s="11">
        <f>COUNTIFS('피드백 로그'!G:G,A4,'피드백 로그'!K:K,"재테스트")</f>
        <v/>
      </c>
      <c r="G4" s="11">
        <f>COUNTIFS('피드백 로그'!G:G,A4,'피드백 로그'!K:K,"종료")</f>
        <v/>
      </c>
      <c r="H4" s="11">
        <f>COUNTIFS('피드백 로그'!G:G,A4,'피드백 로그'!K:K,"보류")</f>
        <v/>
      </c>
      <c r="I4" s="23">
        <f>SUM(B4:H4)</f>
        <v/>
      </c>
    </row>
    <row r="5">
      <c r="A5" s="13" t="inlineStr">
        <is>
          <t>개선</t>
        </is>
      </c>
      <c r="B5" s="11">
        <f>COUNTIFS('피드백 로그'!G:G,A5,'피드백 로그'!K:K,"신규")</f>
        <v/>
      </c>
      <c r="C5" s="11">
        <f>COUNTIFS('피드백 로그'!G:G,A5,'피드백 로그'!K:K,"확인중")</f>
        <v/>
      </c>
      <c r="D5" s="11">
        <f>COUNTIFS('피드백 로그'!G:G,A5,'피드백 로그'!K:K,"수정중")</f>
        <v/>
      </c>
      <c r="E5" s="11">
        <f>COUNTIFS('피드백 로그'!G:G,A5,'피드백 로그'!K:K,"수정완료")</f>
        <v/>
      </c>
      <c r="F5" s="11">
        <f>COUNTIFS('피드백 로그'!G:G,A5,'피드백 로그'!K:K,"재테스트")</f>
        <v/>
      </c>
      <c r="G5" s="11">
        <f>COUNTIFS('피드백 로그'!G:G,A5,'피드백 로그'!K:K,"종료")</f>
        <v/>
      </c>
      <c r="H5" s="11">
        <f>COUNTIFS('피드백 로그'!G:G,A5,'피드백 로그'!K:K,"보류")</f>
        <v/>
      </c>
      <c r="I5" s="23">
        <f>SUM(B5:H5)</f>
        <v/>
      </c>
    </row>
    <row r="6">
      <c r="A6" s="17" t="inlineStr">
        <is>
          <t>합계</t>
        </is>
      </c>
      <c r="B6" s="18">
        <f>SUM(B2:B5)</f>
        <v/>
      </c>
      <c r="C6" s="18">
        <f>SUM(C2:C5)</f>
        <v/>
      </c>
      <c r="D6" s="18">
        <f>SUM(D2:D5)</f>
        <v/>
      </c>
      <c r="E6" s="18">
        <f>SUM(E2:E5)</f>
        <v/>
      </c>
      <c r="F6" s="18">
        <f>SUM(F2:F5)</f>
        <v/>
      </c>
      <c r="G6" s="18">
        <f>SUM(G2:G5)</f>
        <v/>
      </c>
      <c r="H6" s="18">
        <f>SUM(H2:H5)</f>
        <v/>
      </c>
      <c r="I6" s="18">
        <f>SUM(I2:I5)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4" t="inlineStr">
        <is>
          <t>CTR HR Hub UAT 최종 판정</t>
        </is>
      </c>
    </row>
    <row r="3">
      <c r="A3" s="2" t="inlineStr">
        <is>
          <t>통과 기준 체크리스트</t>
        </is>
      </c>
    </row>
    <row r="4">
      <c r="A4" s="25" t="inlineStr">
        <is>
          <t>#</t>
        </is>
      </c>
      <c r="B4" s="25" t="inlineStr">
        <is>
          <t>기준</t>
        </is>
      </c>
      <c r="C4" s="25" t="inlineStr">
        <is>
          <t>목표</t>
        </is>
      </c>
      <c r="D4" s="25" t="inlineStr">
        <is>
          <t>실제</t>
        </is>
      </c>
      <c r="E4" s="25" t="inlineStr">
        <is>
          <t>충족여부</t>
        </is>
      </c>
    </row>
    <row r="5">
      <c r="A5" s="13" t="n">
        <v>1</v>
      </c>
      <c r="B5" s="9" t="inlineStr">
        <is>
          <t>Critical 미해결 건수</t>
        </is>
      </c>
      <c r="C5" s="9" t="inlineStr">
        <is>
          <t>0건</t>
        </is>
      </c>
      <c r="D5" s="9">
        <f>COUNTIFS('피드백 로그'!G:G,"Critical",'피드백 로그'!K:K,"&lt;&gt;종료")&amp;"건"</f>
        <v/>
      </c>
      <c r="E5" s="9">
        <f>IF(COUNTIFS('피드백 로그'!G:G,"Critical",'피드백 로그'!K:K,"&lt;&gt;종료")=0,"충족","미충족")</f>
        <v/>
      </c>
    </row>
    <row r="6">
      <c r="A6" s="13" t="n">
        <v>2</v>
      </c>
      <c r="B6" s="9" t="inlineStr">
        <is>
          <t>Major 미해결 (핵심 모듈)</t>
        </is>
      </c>
      <c r="C6" s="9" t="inlineStr">
        <is>
          <t>0건</t>
        </is>
      </c>
      <c r="D6" s="9">
        <f>COUNTIFS('피드백 로그'!G:G,"Major",'피드백 로그'!K:K,"&lt;&gt;종료",'피드백 로그'!P:P,"Y")&amp;"건"</f>
        <v/>
      </c>
      <c r="E6" s="9">
        <f>IF(COUNTIFS('피드백 로그'!G:G,"Major",'피드백 로그'!K:K,"&lt;&gt;종료",'피드백 로그'!P:P,"Y")=0,"충족","미충족")</f>
        <v/>
      </c>
    </row>
    <row r="7">
      <c r="A7" s="13" t="n">
        <v>3</v>
      </c>
      <c r="B7" s="9" t="inlineStr">
        <is>
          <t>Major 해결률 (전체)</t>
        </is>
      </c>
      <c r="C7" s="9" t="inlineStr">
        <is>
          <t>&gt;=80%</t>
        </is>
      </c>
      <c r="D7" s="9">
        <f>IF(COUNTIFS('피드백 로그'!G:G,"Major")=0,"N/A",TEXT(COUNTIFS('피드백 로그'!G:G,"Major",'피드백 로그'!K:K,"종료")/COUNTIFS('피드백 로그'!G:G,"Major"),"0.0%"))</f>
        <v/>
      </c>
      <c r="E7" s="9">
        <f>IF(COUNTIFS('피드백 로그'!G:G,"Major")=0,"충족",IF(COUNTIFS('피드백 로그'!G:G,"Major",'피드백 로그'!K:K,"종료")/COUNTIFS('피드백 로그'!G:G,"Major")&gt;=0.8,"충족","미충족"))</f>
        <v/>
      </c>
    </row>
    <row r="8">
      <c r="A8" s="13" t="n">
        <v>4</v>
      </c>
      <c r="B8" s="9" t="inlineStr">
        <is>
          <t>핵심 시나리오 통과율</t>
        </is>
      </c>
      <c r="C8" s="9" t="inlineStr">
        <is>
          <t>&gt;=95%</t>
        </is>
      </c>
      <c r="D8" s="9" t="inlineStr">
        <is>
          <t>(수동 입력)</t>
        </is>
      </c>
      <c r="E8" s="9" t="inlineStr"/>
    </row>
    <row r="9">
      <c r="A9" s="13" t="n">
        <v>5</v>
      </c>
      <c r="B9" s="9" t="inlineStr">
        <is>
          <t>체크리스트 스모크 통과율</t>
        </is>
      </c>
      <c r="C9" s="9" t="inlineStr">
        <is>
          <t>&gt;=90%</t>
        </is>
      </c>
      <c r="D9" s="9" t="inlineStr">
        <is>
          <t>(수동 입력)</t>
        </is>
      </c>
      <c r="E9" s="9" t="inlineStr"/>
    </row>
    <row r="10">
      <c r="A10" s="13" t="n">
        <v>6</v>
      </c>
      <c r="B10" s="9" t="inlineStr">
        <is>
          <t>보안/데이터 이슈 미해결</t>
        </is>
      </c>
      <c r="C10" s="9" t="inlineStr">
        <is>
          <t>0건</t>
        </is>
      </c>
      <c r="D10" s="9">
        <f>COUNTIFS('피드백 로그'!K:K,"&lt;&gt;종료",'피드백 로그'!P:P,"Y",'피드백 로그'!G:G,"Critical")&amp;"건"</f>
        <v/>
      </c>
      <c r="E10" s="9">
        <f>IF(COUNTIFS('피드백 로그'!K:K,"&lt;&gt;종료",'피드백 로그'!P:P,"Y",'피드백 로그'!G:G,"Critical")=0,"충족","미충족")</f>
        <v/>
      </c>
    </row>
    <row r="13">
      <c r="A13" s="2" t="inlineStr">
        <is>
          <t>최종 판정</t>
        </is>
      </c>
    </row>
    <row r="14">
      <c r="A14" s="25" t="inlineStr">
        <is>
          <t>판정</t>
        </is>
      </c>
      <c r="B14" s="25" t="inlineStr">
        <is>
          <t>선택</t>
        </is>
      </c>
      <c r="C14" s="26" t="n"/>
      <c r="D14" s="26" t="n"/>
      <c r="E14" s="27" t="n"/>
    </row>
    <row r="15">
      <c r="A15" s="6" t="inlineStr">
        <is>
          <t>전체 GO — 운영 배포 진행</t>
        </is>
      </c>
      <c r="B15" s="9" t="inlineStr">
        <is>
          <t>[ ]</t>
        </is>
      </c>
    </row>
    <row r="16">
      <c r="A16" s="6" t="inlineStr">
        <is>
          <t>조건부 GO — 조건 해결 후 배포</t>
        </is>
      </c>
      <c r="B16" s="9" t="inlineStr">
        <is>
          <t>[ ]</t>
        </is>
      </c>
    </row>
    <row r="17">
      <c r="A17" s="6" t="inlineStr">
        <is>
          <t>NO-GO — 재테스트 필요</t>
        </is>
      </c>
      <c r="B17" s="9" t="inlineStr">
        <is>
          <t>[ ]</t>
        </is>
      </c>
    </row>
    <row r="19">
      <c r="A19" s="2" t="inlineStr">
        <is>
          <t>조건부 GO 시 조건</t>
        </is>
      </c>
    </row>
    <row r="20">
      <c r="A20" s="28" t="inlineStr"/>
      <c r="B20" s="29" t="n"/>
      <c r="C20" s="29" t="n"/>
      <c r="D20" s="29" t="n"/>
      <c r="E20" s="29" t="n"/>
    </row>
    <row r="21">
      <c r="A21" s="29" t="n"/>
      <c r="B21" s="29" t="n"/>
      <c r="C21" s="29" t="n"/>
      <c r="D21" s="29" t="n"/>
      <c r="E21" s="29" t="n"/>
    </row>
    <row r="22">
      <c r="A22" s="29" t="n"/>
      <c r="B22" s="29" t="n"/>
      <c r="C22" s="29" t="n"/>
      <c r="D22" s="29" t="n"/>
      <c r="E22" s="29" t="n"/>
    </row>
    <row r="23">
      <c r="A23" s="29" t="n"/>
      <c r="B23" s="29" t="n"/>
      <c r="C23" s="29" t="n"/>
      <c r="D23" s="29" t="n"/>
      <c r="E23" s="29" t="n"/>
    </row>
    <row r="25">
      <c r="A25" s="2" t="inlineStr">
        <is>
          <t>사인오프</t>
        </is>
      </c>
    </row>
    <row r="26">
      <c r="A26" s="25" t="inlineStr">
        <is>
          <t>역할</t>
        </is>
      </c>
      <c r="B26" s="25" t="inlineStr">
        <is>
          <t>이름</t>
        </is>
      </c>
      <c r="C26" s="25" t="inlineStr">
        <is>
          <t>서명</t>
        </is>
      </c>
      <c r="D26" s="25" t="inlineStr">
        <is>
          <t>날짜</t>
        </is>
      </c>
    </row>
    <row r="27">
      <c r="A27" s="9" t="inlineStr">
        <is>
          <t>UAT 관리자</t>
        </is>
      </c>
      <c r="B27" s="30" t="n"/>
      <c r="C27" s="30" t="n"/>
      <c r="D27" s="31" t="n"/>
    </row>
    <row r="28">
      <c r="A28" s="9" t="inlineStr">
        <is>
          <t>HR 담당자 1</t>
        </is>
      </c>
      <c r="B28" s="30" t="n"/>
      <c r="C28" s="30" t="n"/>
      <c r="D28" s="31" t="n"/>
    </row>
    <row r="29">
      <c r="A29" s="9" t="inlineStr">
        <is>
          <t>HR 담당자 2</t>
        </is>
      </c>
      <c r="B29" s="30" t="n"/>
      <c r="C29" s="30" t="n"/>
      <c r="D29" s="31" t="n"/>
    </row>
  </sheetData>
  <mergeCells count="10">
    <mergeCell ref="B17:E17"/>
    <mergeCell ref="A25:E25"/>
    <mergeCell ref="A20:E23"/>
    <mergeCell ref="B16:E16"/>
    <mergeCell ref="A19:E19"/>
    <mergeCell ref="B15:E15"/>
    <mergeCell ref="A1:E1"/>
    <mergeCell ref="A13:E13"/>
    <mergeCell ref="B14:E14"/>
    <mergeCell ref="A3:E3"/>
  </mergeCells>
  <conditionalFormatting sqref="E5:E10">
    <cfRule type="expression" priority="1" dxfId="4">
      <formula>E5="미충족"</formula>
    </cfRule>
    <cfRule type="expression" priority="2" dxfId="5">
      <formula>E5="충족"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2026-04-16T15:37:22Z</dcterms:created>
  <dcterms:modified xmlns:dcterms="http://purl.org/dc/terms/" xmlns:xsi="http://www.w3.org/2001/XMLSchema-instance" xsi:type="dcterms:W3CDTF">2026-04-16T15:37:22Z</dcterms:modified>
</cp:coreProperties>
</file>